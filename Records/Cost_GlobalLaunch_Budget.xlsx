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ivers" sheetId="1" state="visible" r:id="rId3"/>
    <sheet name="Budget" sheetId="2" state="visible" r:id="rId4"/>
    <sheet name="Scenarios" sheetId="3" state="visible" r:id="rId5"/>
    <sheet name="Server options" sheetId="4" state="visible" r:id="rId6"/>
    <sheet name="Reg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<sst xmlns="http://schemas.openxmlformats.org/spreadsheetml/2006/main" count="123" uniqueCount="120">
  <si>
    <t xml:space="preserve">TrustSquare global launch — budget drivers</t>
  </si>
  <si>
    <t xml:space="preserve">Change the blue cells. Everything on Budget &amp; Scenarios recalculates.</t>
  </si>
  <si>
    <t xml:space="preserve">Driver</t>
  </si>
  <si>
    <t xml:space="preserve">Value</t>
  </si>
  <si>
    <t xml:space="preserve">Note</t>
  </si>
  <si>
    <t xml:space="preserve">Number of regions (pods)</t>
  </si>
  <si>
    <t xml:space="preserve">continent-level at launch (Africa, N.America, Europe, Oceania)</t>
  </si>
  <si>
    <t xml:space="preserve">Per-region — app server ($/mo)</t>
  </si>
  <si>
    <t xml:space="preserve">CPX31-class, POST-15-Jun-2026 price; existing box may be grandfathered ~$17</t>
  </si>
  <si>
    <t xml:space="preserve">Per-region — storage: volume + backups ($/mo)</t>
  </si>
  <si>
    <t xml:space="preserve">Hetzner Volume ~$6 + object-storage backups ~$6</t>
  </si>
  <si>
    <t xml:space="preserve">Central — ledger/identity server ($/mo)</t>
  </si>
  <si>
    <t xml:space="preserve">the one authoritative money+identity box (can co-locate at launch)</t>
  </si>
  <si>
    <t xml:space="preserve">Central — managed Postgres ($/mo)</t>
  </si>
  <si>
    <t xml:space="preserve">managed for the money DB; $0 if self-hosted on the central box</t>
  </si>
  <si>
    <t xml:space="preserve">Central — storage/backups ($/mo)</t>
  </si>
  <si>
    <t xml:space="preserve">volume + backups for the central ledger</t>
  </si>
  <si>
    <t xml:space="preserve">Cloudflare ($/mo)</t>
  </si>
  <si>
    <t xml:space="preserve">Pro per domain; Business = 200 for PCI/custom-WAF later</t>
  </si>
  <si>
    <t xml:space="preserve">Email / Resend ($/mo)</t>
  </si>
  <si>
    <t xml:space="preserve">free under 3k emails/mo; small paid buffer</t>
  </si>
  <si>
    <t xml:space="preserve">Domain ($/mo)</t>
  </si>
  <si>
    <t xml:space="preserve">~$15/yr amortised</t>
  </si>
  <si>
    <t xml:space="preserve">AI / Claude Pro ($/mo)</t>
  </si>
  <si>
    <t xml:space="preserve">per-use API cost is revenue-linked, tracked separately</t>
  </si>
  <si>
    <t xml:space="preserve">Payment fee (%)</t>
  </si>
  <si>
    <t xml:space="preserve">blended Paystack/Stripe ~2.9%; revenue-linked, not fixed</t>
  </si>
  <si>
    <t xml:space="preserve">Monthly payment volume ($)</t>
  </si>
  <si>
    <t xml:space="preserve">set as revenue arrives — drives the fee line</t>
  </si>
  <si>
    <t xml:space="preserve">Monthly &amp; annual budget (auto-calculated)</t>
  </si>
  <si>
    <t xml:space="preserve">Green = pulled from Drivers. Black = calculated. Change values on the Drivers sheet.</t>
  </si>
  <si>
    <t xml:space="preserve">Line</t>
  </si>
  <si>
    <t xml:space="preserve">Monthly $</t>
  </si>
  <si>
    <t xml:space="preserve">Annual $</t>
  </si>
  <si>
    <t xml:space="preserve">Regional pods (all regions)</t>
  </si>
  <si>
    <t xml:space="preserve">Central ledger + identity</t>
  </si>
  <si>
    <t xml:space="preserve">Global tools (Cloudflare, email, domain, AI)</t>
  </si>
  <si>
    <t xml:space="preserve">TOTAL FIXED (infra + tools)</t>
  </si>
  <si>
    <t xml:space="preserve">Payment fees (revenue-linked)</t>
  </si>
  <si>
    <t xml:space="preserve">GRAND TOTAL (incl. payment fees)</t>
  </si>
  <si>
    <t xml:space="preserve">Per-region cost (each pod) =</t>
  </si>
  <si>
    <t xml:space="preserve">Scenarios — cost by number of regions</t>
  </si>
  <si>
    <t xml:space="preserve">Holds per-unit costs from Drivers; only the region count changes.</t>
  </si>
  <si>
    <t xml:space="preserve">Regions</t>
  </si>
  <si>
    <t xml:space="preserve">Monthly fixed $</t>
  </si>
  <si>
    <t xml:space="preserve">Annual fixed $</t>
  </si>
  <si>
    <t xml:space="preserve">(payment fees scale separately with revenue, ~2.9%)</t>
  </si>
  <si>
    <t xml:space="preserve">Server / host options by region (reference)</t>
  </si>
  <si>
    <t xml:space="preserve">Prices indicative, post-15-Jun-2026 Hetzner increase; confirm exact on order. Sources in the Word plan.</t>
  </si>
  <si>
    <t xml:space="preserve">Region</t>
  </si>
  <si>
    <t xml:space="preserve">Recommended host</t>
  </si>
  <si>
    <t xml:space="preserve">Datacentre</t>
  </si>
  <si>
    <t xml:space="preserve">~Server $/mo</t>
  </si>
  <si>
    <t xml:space="preserve">Residency fit</t>
  </si>
  <si>
    <t xml:space="preserve">Notes</t>
  </si>
  <si>
    <t xml:space="preserve">Europe</t>
  </si>
  <si>
    <t xml:space="preserve">Hetzner Cloud</t>
  </si>
  <si>
    <t xml:space="preserve">Germany / Finland</t>
  </si>
  <si>
    <t xml:space="preserve">45</t>
  </si>
  <si>
    <t xml:space="preserve">EU-GDPR ✓</t>
  </si>
  <si>
    <t xml:space="preserve">native, cheapest, EU adequacy covers UK</t>
  </si>
  <si>
    <t xml:space="preserve">North America</t>
  </si>
  <si>
    <t xml:space="preserve">Ashburn VA / Hillsboro OR</t>
  </si>
  <si>
    <t xml:space="preserve">US ✓</t>
  </si>
  <si>
    <t xml:space="preserve">native US datacentre</t>
  </si>
  <si>
    <t xml:space="preserve">Oceania</t>
  </si>
  <si>
    <t xml:space="preserve">Hetzner (Singapore) or AU host</t>
  </si>
  <si>
    <t xml:space="preserve">Singapore (nearest)</t>
  </si>
  <si>
    <t xml:space="preserve">45-60</t>
  </si>
  <si>
    <t xml:space="preserve">AU Privacy Act ~</t>
  </si>
  <si>
    <t xml:space="preserve">Singapore latency ok; AU host for true residency</t>
  </si>
  <si>
    <t xml:space="preserve">Africa</t>
  </si>
  <si>
    <t xml:space="preserve">xneelo (ex-Hetzner SA) or SA host</t>
  </si>
  <si>
    <t xml:space="preserve">Cape Town / Samrand (Gauteng)</t>
  </si>
  <si>
    <t xml:space="preserve">consumption</t>
  </si>
  <si>
    <t xml:space="preserve">POPIA ✓ (in-country)</t>
  </si>
  <si>
    <t xml:space="preserve">Hetzner Cloud has NO Africa DC; use xneelo for residency</t>
  </si>
  <si>
    <t xml:space="preserve">Central spine</t>
  </si>
  <si>
    <t xml:space="preserve">EU (or co-located)</t>
  </si>
  <si>
    <t xml:space="preserve">45 + DB 25</t>
  </si>
  <si>
    <t xml:space="preserve">global</t>
  </si>
  <si>
    <t xml:space="preserve">one authoritative ledger+identity</t>
  </si>
  <si>
    <t xml:space="preserve">Country / region-specific considerations (reference)</t>
  </si>
  <si>
    <t xml:space="preserve">English at launch everywhere; local language default is a future option.</t>
  </si>
  <si>
    <t xml:space="preserve">Region / city</t>
  </si>
  <si>
    <t xml:space="preserve">Currency</t>
  </si>
  <si>
    <t xml:space="preserve">Language (launch → future)</t>
  </si>
  <si>
    <t xml:space="preserve">Privacy law</t>
  </si>
  <si>
    <t xml:space="preserve">Payment rail</t>
  </si>
  <si>
    <t xml:space="preserve">Cultural / religious notes</t>
  </si>
  <si>
    <t xml:space="preserve">Africa · Pretoria</t>
  </si>
  <si>
    <t xml:space="preserve">ZAR</t>
  </si>
  <si>
    <t xml:space="preserve">English → Afrikaans/Zulu</t>
  </si>
  <si>
    <t xml:space="preserve">POPIA</t>
  </si>
  <si>
    <t xml:space="preserve">Paystack (ZAR)</t>
  </si>
  <si>
    <t xml:space="preserve">launch market; local public holidays</t>
  </si>
  <si>
    <t xml:space="preserve">N. America · New York</t>
  </si>
  <si>
    <t xml:space="preserve">USD</t>
  </si>
  <si>
    <t xml:space="preserve">English → ES</t>
  </si>
  <si>
    <t xml:space="preserve">US state laws (CCPA…)</t>
  </si>
  <si>
    <t xml:space="preserve">Stripe (USD)</t>
  </si>
  <si>
    <t xml:space="preserve">tipping/holiday calendar differ</t>
  </si>
  <si>
    <t xml:space="preserve">Europe · London</t>
  </si>
  <si>
    <t xml:space="preserve">GBP</t>
  </si>
  <si>
    <t xml:space="preserve">English → local</t>
  </si>
  <si>
    <t xml:space="preserve">UK-GDPR / EU-GDPR</t>
  </si>
  <si>
    <t xml:space="preserve">Stripe (GBP/EUR)</t>
  </si>
  <si>
    <t xml:space="preserve">cookie/consent prominence</t>
  </si>
  <si>
    <t xml:space="preserve">Oceania · Sydney</t>
  </si>
  <si>
    <t xml:space="preserve">AUD</t>
  </si>
  <si>
    <t xml:space="preserve">English</t>
  </si>
  <si>
    <t xml:space="preserve">Australian Privacy Act</t>
  </si>
  <si>
    <t xml:space="preserve">Stripe (AUD)</t>
  </si>
  <si>
    <t xml:space="preserve">seasons inverted; AU holidays</t>
  </si>
  <si>
    <t xml:space="preserve">Future (e.g. Gulf)</t>
  </si>
  <si>
    <t xml:space="preserve">local</t>
  </si>
  <si>
    <t xml:space="preserve">English → RTL Arabic</t>
  </si>
  <si>
    <t xml:space="preserve">local law</t>
  </si>
  <si>
    <t xml:space="preserve">local rail</t>
  </si>
  <si>
    <t xml:space="preserve">right-to-left UI, religious calendar/imagery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</si>
</sst>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\$#,##0.00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A5A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D6"/>
        <bgColor rgb="FFF2F5F9"/>
      </patternFill>
    </fill>
    <fill>
      <patternFill patternType="solid">
        <fgColor rgb="FFDEEBF7"/>
        <bgColor rgb="FFF2F5F9"/>
      </patternFill>
    </fill>
    <fill>
      <patternFill patternType="solid">
        <fgColor rgb="FFF2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D"/>
      </left>
      <right style="thin">
        <color rgb="FFC9D2DD"/>
      </right>
      <top style="thin">
        <color rgb="FFC9D2DD"/>
      </top>
      <bottom style="thin">
        <color rgb="FFC9D2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6"/>
      <rgbColor rgb="FFDEEBF7"/>
      <rgbColor rgb="FF660066"/>
      <rgbColor rgb="FFFF8080"/>
      <rgbColor rgb="FF0066CC"/>
      <rgbColor rgb="FFC9D2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4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v>45</v>
      </c>
      <c r="C6" s="6" t="s">
        <v>8</v>
      </c>
    </row>
    <row r="7" customFormat="false" ht="15" hidden="false" customHeight="false" outlineLevel="0" collapsed="false">
      <c r="A7" s="4" t="s">
        <v>9</v>
      </c>
      <c r="B7" s="5" t="n">
        <v>12</v>
      </c>
      <c r="C7" s="6" t="s">
        <v>10</v>
      </c>
    </row>
    <row r="8" customFormat="false" ht="15" hidden="false" customHeight="false" outlineLevel="0" collapsed="false">
      <c r="A8" s="4" t="s">
        <v>11</v>
      </c>
      <c r="B8" s="5" t="n">
        <v>45</v>
      </c>
      <c r="C8" s="6" t="s">
        <v>12</v>
      </c>
    </row>
    <row r="9" customFormat="false" ht="15" hidden="false" customHeight="false" outlineLevel="0" collapsed="false">
      <c r="A9" s="4" t="s">
        <v>13</v>
      </c>
      <c r="B9" s="5" t="n">
        <v>25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5" t="n">
        <v>12</v>
      </c>
      <c r="C10" s="6" t="s">
        <v>16</v>
      </c>
    </row>
    <row r="11" customFormat="false" ht="15" hidden="false" customHeight="false" outlineLevel="0" collapsed="false">
      <c r="A11" s="4" t="s">
        <v>17</v>
      </c>
      <c r="B11" s="5" t="n">
        <v>25</v>
      </c>
      <c r="C11" s="6" t="s">
        <v>18</v>
      </c>
    </row>
    <row r="12" customFormat="false" ht="15" hidden="false" customHeight="false" outlineLevel="0" collapsed="false">
      <c r="A12" s="4" t="s">
        <v>19</v>
      </c>
      <c r="B12" s="5" t="n">
        <v>20</v>
      </c>
      <c r="C12" s="6" t="s">
        <v>20</v>
      </c>
    </row>
    <row r="13" customFormat="false" ht="15" hidden="false" customHeight="false" outlineLevel="0" collapsed="false">
      <c r="A13" s="4" t="s">
        <v>21</v>
      </c>
      <c r="B13" s="7" t="n">
        <v>1.25</v>
      </c>
      <c r="C13" s="6" t="s">
        <v>22</v>
      </c>
    </row>
    <row r="14" customFormat="false" ht="15" hidden="false" customHeight="false" outlineLevel="0" collapsed="false">
      <c r="A14" s="4" t="s">
        <v>23</v>
      </c>
      <c r="B14" s="5" t="n">
        <v>20</v>
      </c>
      <c r="C14" s="6" t="s">
        <v>24</v>
      </c>
    </row>
    <row r="15" customFormat="false" ht="15" hidden="false" customHeight="false" outlineLevel="0" collapsed="false">
      <c r="A15" s="4" t="s">
        <v>25</v>
      </c>
      <c r="B15" s="8" t="n">
        <v>0.029</v>
      </c>
      <c r="C15" s="6" t="s">
        <v>26</v>
      </c>
    </row>
    <row r="16" customFormat="false" ht="15" hidden="false" customHeight="false" outlineLevel="0" collapsed="false">
      <c r="A16" s="4" t="s">
        <v>27</v>
      </c>
      <c r="B16" s="5" t="n">
        <v>0</v>
      </c>
      <c r="C16" s="6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3" t="s">
        <v>31</v>
      </c>
      <c r="B4" s="3" t="s">
        <v>32</v>
      </c>
      <c r="C4" s="3" t="s">
        <v>33</v>
      </c>
    </row>
    <row r="5" customFormat="false" ht="15" hidden="false" customHeight="false" outlineLevel="0" collapsed="false">
      <c r="A5" s="4" t="s">
        <v>34</v>
      </c>
      <c r="B5" s="9" t="n">
        <f aca="false">Drivers!$B$5*(Drivers!$B$6+Drivers!$B$7)</f>
        <v>228</v>
      </c>
      <c r="C5" s="10" t="n">
        <f aca="false">B5*12</f>
        <v>2736</v>
      </c>
    </row>
    <row r="6" customFormat="false" ht="15" hidden="false" customHeight="false" outlineLevel="0" collapsed="false">
      <c r="A6" s="4" t="s">
        <v>35</v>
      </c>
      <c r="B6" s="9" t="n">
        <f aca="false">Drivers!$B$8+Drivers!$B$9+Drivers!$B$10</f>
        <v>82</v>
      </c>
      <c r="C6" s="10" t="n">
        <f aca="false">B6*12</f>
        <v>984</v>
      </c>
    </row>
    <row r="7" customFormat="false" ht="15" hidden="false" customHeight="false" outlineLevel="0" collapsed="false">
      <c r="A7" s="4" t="s">
        <v>36</v>
      </c>
      <c r="B7" s="9" t="n">
        <f aca="false">Drivers!$B$11+Drivers!$B$12+Drivers!$B$13+Drivers!$B$14</f>
        <v>66.25</v>
      </c>
      <c r="C7" s="10" t="n">
        <f aca="false">B7*12</f>
        <v>795</v>
      </c>
    </row>
    <row r="8" customFormat="false" ht="15" hidden="false" customHeight="false" outlineLevel="0" collapsed="false">
      <c r="A8" s="11" t="s">
        <v>37</v>
      </c>
      <c r="B8" s="12" t="n">
        <f aca="false">SUM(B5:B7)</f>
        <v>376.25</v>
      </c>
      <c r="C8" s="12" t="n">
        <f aca="false">B8*12</f>
        <v>4515</v>
      </c>
    </row>
    <row r="10" customFormat="false" ht="15" hidden="false" customHeight="false" outlineLevel="0" collapsed="false">
      <c r="A10" s="4" t="s">
        <v>38</v>
      </c>
      <c r="B10" s="10" t="n">
        <f aca="false">Drivers!$B$16*Drivers!$B$15</f>
        <v>0</v>
      </c>
      <c r="C10" s="10" t="n">
        <f aca="false">B10*12</f>
        <v>0</v>
      </c>
    </row>
    <row r="11" customFormat="false" ht="15" hidden="false" customHeight="false" outlineLevel="0" collapsed="false">
      <c r="A11" s="11" t="s">
        <v>39</v>
      </c>
      <c r="B11" s="13" t="n">
        <f aca="false">B8+B10</f>
        <v>376.25</v>
      </c>
      <c r="C11" s="13" t="n">
        <f aca="false">B11*12</f>
        <v>4515</v>
      </c>
    </row>
    <row r="13" customFormat="false" ht="15" hidden="false" customHeight="false" outlineLevel="0" collapsed="false">
      <c r="A13" s="2" t="s">
        <v>40</v>
      </c>
      <c r="B13" s="14" t="n">
        <f aca="false">Drivers!$B$6+Drivers!$B$7</f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3" t="s">
        <v>43</v>
      </c>
      <c r="B4" s="3" t="s">
        <v>44</v>
      </c>
      <c r="C4" s="3" t="s">
        <v>45</v>
      </c>
    </row>
    <row r="5" customFormat="false" ht="15" hidden="false" customHeight="false" outlineLevel="0" collapsed="false">
      <c r="A5" s="15" t="n">
        <v>1</v>
      </c>
      <c r="B5" s="10" t="n">
        <f aca="false">(Drivers!$B$8+Drivers!$B$9+Drivers!$B$10)+(Drivers!$B$11+Drivers!$B$12+Drivers!$B$13+Drivers!$B$14)+1*(Drivers!$B$6+Drivers!$B$7)</f>
        <v>205.25</v>
      </c>
      <c r="C5" s="10" t="n">
        <f aca="false">B5*12</f>
        <v>2463</v>
      </c>
    </row>
    <row r="6" customFormat="false" ht="15" hidden="false" customHeight="false" outlineLevel="0" collapsed="false">
      <c r="A6" s="15" t="n">
        <v>4</v>
      </c>
      <c r="B6" s="10" t="n">
        <f aca="false">(Drivers!$B$8+Drivers!$B$9+Drivers!$B$10)+(Drivers!$B$11+Drivers!$B$12+Drivers!$B$13+Drivers!$B$14)+4*(Drivers!$B$6+Drivers!$B$7)</f>
        <v>376.25</v>
      </c>
      <c r="C6" s="10" t="n">
        <f aca="false">B6*12</f>
        <v>4515</v>
      </c>
    </row>
    <row r="7" customFormat="false" ht="15" hidden="false" customHeight="false" outlineLevel="0" collapsed="false">
      <c r="A7" s="15" t="n">
        <v>6</v>
      </c>
      <c r="B7" s="10" t="n">
        <f aca="false">(Drivers!$B$8+Drivers!$B$9+Drivers!$B$10)+(Drivers!$B$11+Drivers!$B$12+Drivers!$B$13+Drivers!$B$14)+6*(Drivers!$B$6+Drivers!$B$7)</f>
        <v>490.25</v>
      </c>
      <c r="C7" s="10" t="n">
        <f aca="false">B7*12</f>
        <v>5883</v>
      </c>
    </row>
    <row r="8" customFormat="false" ht="15" hidden="false" customHeight="false" outlineLevel="0" collapsed="false">
      <c r="A8" s="15" t="n">
        <v>8</v>
      </c>
      <c r="B8" s="10" t="n">
        <f aca="false">(Drivers!$B$8+Drivers!$B$9+Drivers!$B$10)+(Drivers!$B$11+Drivers!$B$12+Drivers!$B$13+Drivers!$B$14)+8*(Drivers!$B$6+Drivers!$B$7)</f>
        <v>604.25</v>
      </c>
      <c r="C8" s="10" t="n">
        <f aca="false">B8*12</f>
        <v>7251</v>
      </c>
    </row>
    <row r="9" customFormat="false" ht="15" hidden="false" customHeight="false" outlineLevel="0" collapsed="false">
      <c r="A9" s="15" t="n">
        <v>12</v>
      </c>
      <c r="B9" s="10" t="n">
        <f aca="false">(Drivers!$B$8+Drivers!$B$9+Drivers!$B$10)+(Drivers!$B$11+Drivers!$B$12+Drivers!$B$13+Drivers!$B$14)+12*(Drivers!$B$6+Drivers!$B$7)</f>
        <v>832.25</v>
      </c>
      <c r="C9" s="10" t="n">
        <f aca="false">B9*12</f>
        <v>9987</v>
      </c>
    </row>
    <row r="11" customFormat="false" ht="15" hidden="false" customHeight="false" outlineLevel="0" collapsed="false">
      <c r="A11" s="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16" t="s">
        <v>49</v>
      </c>
      <c r="B4" s="16" t="s">
        <v>50</v>
      </c>
      <c r="C4" s="16" t="s">
        <v>51</v>
      </c>
      <c r="D4" s="16" t="s">
        <v>52</v>
      </c>
      <c r="E4" s="16" t="s">
        <v>53</v>
      </c>
      <c r="F4" s="16" t="s">
        <v>54</v>
      </c>
    </row>
    <row r="5" customFormat="false" ht="15" hidden="false" customHeight="false" outlineLevel="0" collapsed="false">
      <c r="A5" s="17" t="s">
        <v>55</v>
      </c>
      <c r="B5" s="17" t="s">
        <v>56</v>
      </c>
      <c r="C5" s="17" t="s">
        <v>57</v>
      </c>
      <c r="D5" s="17" t="s">
        <v>58</v>
      </c>
      <c r="E5" s="17" t="s">
        <v>59</v>
      </c>
      <c r="F5" s="17" t="s">
        <v>60</v>
      </c>
    </row>
    <row r="6" customFormat="false" ht="15" hidden="false" customHeight="false" outlineLevel="0" collapsed="false">
      <c r="A6" s="17" t="s">
        <v>61</v>
      </c>
      <c r="B6" s="17" t="s">
        <v>56</v>
      </c>
      <c r="C6" s="17" t="s">
        <v>62</v>
      </c>
      <c r="D6" s="17" t="s">
        <v>58</v>
      </c>
      <c r="E6" s="17" t="s">
        <v>63</v>
      </c>
      <c r="F6" s="17" t="s">
        <v>64</v>
      </c>
    </row>
    <row r="7" customFormat="false" ht="15" hidden="false" customHeight="false" outlineLevel="0" collapsed="false">
      <c r="A7" s="17" t="s">
        <v>65</v>
      </c>
      <c r="B7" s="17" t="s">
        <v>66</v>
      </c>
      <c r="C7" s="17" t="s">
        <v>67</v>
      </c>
      <c r="D7" s="17" t="s">
        <v>68</v>
      </c>
      <c r="E7" s="17" t="s">
        <v>69</v>
      </c>
      <c r="F7" s="17" t="s">
        <v>70</v>
      </c>
    </row>
    <row r="8" customFormat="false" ht="26.85" hidden="false" customHeight="false" outlineLevel="0" collapsed="false">
      <c r="A8" s="17" t="s">
        <v>71</v>
      </c>
      <c r="B8" s="17" t="s">
        <v>72</v>
      </c>
      <c r="C8" s="17" t="s">
        <v>73</v>
      </c>
      <c r="D8" s="17" t="s">
        <v>74</v>
      </c>
      <c r="E8" s="17" t="s">
        <v>75</v>
      </c>
      <c r="F8" s="17" t="s">
        <v>76</v>
      </c>
    </row>
    <row r="9" customFormat="false" ht="15" hidden="false" customHeight="false" outlineLevel="0" collapsed="false">
      <c r="A9" s="17" t="s">
        <v>77</v>
      </c>
      <c r="B9" s="17" t="s">
        <v>56</v>
      </c>
      <c r="C9" s="17" t="s">
        <v>78</v>
      </c>
      <c r="D9" s="17" t="s">
        <v>79</v>
      </c>
      <c r="E9" s="17" t="s">
        <v>80</v>
      </c>
      <c r="F9" s="17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4" customFormat="false" ht="15" hidden="false" customHeight="false" outlineLevel="0" collapsed="false">
      <c r="A4" s="16" t="s">
        <v>84</v>
      </c>
      <c r="B4" s="16" t="s">
        <v>85</v>
      </c>
      <c r="C4" s="16" t="s">
        <v>86</v>
      </c>
      <c r="D4" s="16" t="s">
        <v>87</v>
      </c>
      <c r="E4" s="16" t="s">
        <v>88</v>
      </c>
      <c r="F4" s="16" t="s">
        <v>89</v>
      </c>
    </row>
    <row r="5" customFormat="false" ht="15" hidden="false" customHeight="false" outlineLevel="0" collapsed="false">
      <c r="A5" s="17" t="s">
        <v>90</v>
      </c>
      <c r="B5" s="17" t="s">
        <v>91</v>
      </c>
      <c r="C5" s="17" t="s">
        <v>92</v>
      </c>
      <c r="D5" s="17" t="s">
        <v>93</v>
      </c>
      <c r="E5" s="17" t="s">
        <v>94</v>
      </c>
      <c r="F5" s="17" t="s">
        <v>95</v>
      </c>
    </row>
    <row r="6" customFormat="false" ht="26.85" hidden="false" customHeight="false" outlineLevel="0" collapsed="false">
      <c r="A6" s="17" t="s">
        <v>96</v>
      </c>
      <c r="B6" s="17" t="s">
        <v>97</v>
      </c>
      <c r="C6" s="17" t="s">
        <v>98</v>
      </c>
      <c r="D6" s="17" t="s">
        <v>99</v>
      </c>
      <c r="E6" s="17" t="s">
        <v>100</v>
      </c>
      <c r="F6" s="17" t="s">
        <v>101</v>
      </c>
    </row>
    <row r="7" customFormat="false" ht="15" hidden="false" customHeight="false" outlineLevel="0" collapsed="false">
      <c r="A7" s="17" t="s">
        <v>102</v>
      </c>
      <c r="B7" s="17" t="s">
        <v>103</v>
      </c>
      <c r="C7" s="17" t="s">
        <v>104</v>
      </c>
      <c r="D7" s="17" t="s">
        <v>105</v>
      </c>
      <c r="E7" s="17" t="s">
        <v>106</v>
      </c>
      <c r="F7" s="17" t="s">
        <v>107</v>
      </c>
    </row>
    <row r="8" customFormat="false" ht="15" hidden="false" customHeight="false" outlineLevel="0" collapsed="false">
      <c r="A8" s="17" t="s">
        <v>108</v>
      </c>
      <c r="B8" s="17" t="s">
        <v>109</v>
      </c>
      <c r="C8" s="17" t="s">
        <v>110</v>
      </c>
      <c r="D8" s="17" t="s">
        <v>111</v>
      </c>
      <c r="E8" s="17" t="s">
        <v>112</v>
      </c>
      <c r="F8" s="17" t="s">
        <v>113</v>
      </c>
    </row>
    <row r="9" customFormat="false" ht="15" hidden="false" customHeight="false" outlineLevel="0" collapsed="false">
      <c r="A9" s="17" t="s">
        <v>114</v>
      </c>
      <c r="B9" s="17" t="s">
        <v>115</v>
      </c>
      <c r="C9" s="17" t="s">
        <v>116</v>
      </c>
      <c r="D9" s="17" t="s">
        <v>117</v>
      </c>
      <c r="E9" s="17" t="s">
        <v>118</v>
      </c>
      <c r="F9" s="17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2026-06-21T09:51:52Z</dcterms:created>
  <dc:creator>openpyxl</dc:creator>
  <dc:description/>
  <dc:language>en-US</dc:language>
  <cp:lastModifiedBy/>
  <dcterms:modified xsi:type="dcterms:W3CDTF">2026-06-21T09:51:52Z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