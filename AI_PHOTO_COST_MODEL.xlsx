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Pricing (Jul 2026)" sheetId="2" state="visible" r:id="rId2"/>
    <sheet xmlns:r="http://schemas.openxmlformats.org/officeDocument/2006/relationships" name="Per-photo model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Switch Test Plan" sheetId="5" state="visible" r:id="rId5"/>
    <sheet xmlns:r="http://schemas.openxmlformats.org/officeDocument/2006/relationships" name="Pricing (Aug 2026) swap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0.0000"/>
    <numFmt numFmtId="165" formatCode="\$#,##0.00"/>
    <numFmt numFmtId="166" formatCode="\$#,##0"/>
    <numFmt numFmtId="167" formatCode="$0.0000"/>
    <numFmt numFmtId="168" formatCode="$#,##0.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B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i val="1"/>
      <sz val="11"/>
    </font>
    <font>
      <name val="Arial"/>
      <color rgb="000000FF"/>
    </font>
    <font>
      <b val="1"/>
      <color rgb="001F386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00FFFF00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 wrapText="1"/>
    </xf>
    <xf numFmtId="0" fontId="7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 wrapText="1"/>
    </xf>
    <xf numFmtId="0" fontId="7" fillId="3" borderId="1" applyAlignment="1" pivotButton="0" quotePrefix="0" xfId="0">
      <alignment horizontal="general" vertical="top" wrapText="1"/>
    </xf>
    <xf numFmtId="0" fontId="0" fillId="0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2" pivotButton="0" quotePrefix="0" xfId="0"/>
    <xf numFmtId="0" fontId="9" fillId="4" borderId="2" pivotButton="0" quotePrefix="0" xfId="0"/>
    <xf numFmtId="167" fontId="0" fillId="0" borderId="2" pivotButton="0" quotePrefix="0" xfId="0"/>
    <xf numFmtId="168" fontId="0" fillId="0" borderId="2" pivotButton="0" quotePrefix="0" xfId="0"/>
    <xf numFmtId="166" fontId="0" fillId="0" borderId="1" applyAlignment="1" pivotButton="0" quotePrefix="0" xfId="0">
      <alignment horizontal="general" vertical="top" wrapText="1"/>
    </xf>
    <xf numFmtId="0" fontId="10" fillId="0" borderId="0" pivotButton="0" quotePrefix="0" xfId="0"/>
    <xf numFmtId="0" fontId="11" fillId="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6" min="1" max="1"/>
    <col width="24" customWidth="1" style="16" min="2" max="2"/>
    <col width="64" customWidth="1" style="16" min="3" max="3"/>
    <col width="46" customWidth="1" style="16" min="4" max="4"/>
  </cols>
  <sheetData>
    <row r="1" ht="15" customHeight="1" s="17">
      <c r="A1" s="18" t="inlineStr">
        <is>
          <t>TrustSquare — What the AI must do PER LISTING PHOTO (the anonymity gate)</t>
        </is>
      </c>
    </row>
    <row r="3" ht="15" customHeight="1" s="17">
      <c r="A3" s="19" t="inlineStr">
        <is>
          <t>ID</t>
        </is>
      </c>
      <c r="B3" s="19" t="inlineStr">
        <is>
          <t>Requirement</t>
        </is>
      </c>
      <c r="C3" s="19" t="inlineStr">
        <is>
          <t>Detail</t>
        </is>
      </c>
      <c r="D3" s="19" t="inlineStr">
        <is>
          <t>Why it matters</t>
        </is>
      </c>
    </row>
    <row r="4" ht="23.85" customHeight="1" s="17">
      <c r="A4" s="20" t="inlineStr">
        <is>
          <t>R1</t>
        </is>
      </c>
      <c r="B4" s="20" t="inlineStr">
        <is>
          <t>Detect identifying content</t>
        </is>
      </c>
      <c r="C4" s="20" t="inlineStr">
        <is>
          <t>Number plates (incl. ~60px background plates), dealer strips with phone/web text, signage, house numbers, licence discs, contact overlays</t>
        </is>
      </c>
      <c r="D4" s="20" t="inlineStr">
        <is>
          <t>Recall failure = privacy leak on a live advert (the 11 Jul incident)</t>
        </is>
      </c>
    </row>
    <row r="5" ht="23.85" customHeight="1" s="17">
      <c r="A5" s="20" t="inlineStr">
        <is>
          <t>R2</t>
        </is>
      </c>
      <c r="B5" s="20" t="inlineStr">
        <is>
          <t>Box precisely</t>
        </is>
      </c>
      <c r="C5" s="20" t="inlineStr">
        <is>
          <t>0-1000 normalised boxes; zoom-refine to the CHARACTER strip; report text tilt angle for the capsule blur</t>
        </is>
      </c>
      <c r="D5" s="20" t="inlineStr">
        <is>
          <t>Box slop = the 'butchered photo' David rejected</t>
        </is>
      </c>
    </row>
    <row r="6" ht="23.85" customHeight="1" s="17">
      <c r="A6" s="20" t="inlineStr">
        <is>
          <t>R3</t>
        </is>
      </c>
      <c r="B6" s="20" t="inlineStr">
        <is>
          <t>Verify after blur</t>
        </is>
      </c>
      <c r="C6" s="20" t="inlineStr">
        <is>
          <t>Re-scan the blurred image; flag any single readable character at a patch edge</t>
        </is>
      </c>
      <c r="D6" s="20" t="inlineStr">
        <is>
          <t>THE leak guarantee — the verifier's quality IS the safety bar</t>
        </is>
      </c>
    </row>
    <row r="7" ht="23.85" customHeight="1" s="17">
      <c r="A7" s="20" t="inlineStr">
        <is>
          <t>R4</t>
        </is>
      </c>
      <c r="B7" s="20" t="inlineStr">
        <is>
          <t>Classify &amp; moderate</t>
        </is>
      </c>
      <c r="C7" s="20" t="inlineStr">
        <is>
          <t>subject (2-4 words) + inappropriate flag (nudity/violence/degrading) — added 15 Jul, same call</t>
        </is>
      </c>
      <c r="D7" s="20" t="inlineStr">
        <is>
          <t>Abuse defence, zero extra calls</t>
        </is>
      </c>
    </row>
    <row r="8" ht="23.85" customHeight="1" s="17">
      <c r="A8" s="20" t="inlineStr">
        <is>
          <t>R5</t>
        </is>
      </c>
      <c r="B8" s="20" t="inlineStr">
        <is>
          <t>Strict JSON at &lt;=1400 output tokens</t>
        </is>
      </c>
      <c r="C8" s="20" t="inlineStr">
        <is>
          <t>Salvage exists but malformed output = held photo = seller friction</t>
        </is>
      </c>
      <c r="D8" s="20" t="n"/>
    </row>
    <row r="9" ht="23.85" customHeight="1" s="17">
      <c r="A9" s="20" t="inlineStr">
        <is>
          <t>R6</t>
        </is>
      </c>
      <c r="B9" s="20" t="inlineStr">
        <is>
          <t>Ops integration</t>
        </is>
      </c>
      <c r="C9" s="20" t="inlineStr">
        <is>
          <t>Fail-closed; $100/day ceiling (C1); per-call spend logging; provider seam (ai_provider.py task routing)</t>
        </is>
      </c>
      <c r="D9" s="20" t="inlineStr">
        <is>
          <t>Any replacement model must slot into the SAME seam</t>
        </is>
      </c>
    </row>
    <row r="11" ht="15" customHeight="1" s="17">
      <c r="A11" s="21" t="inlineStr">
        <is>
          <t>History that matters: the scan WAS Haiku-routed until 7 Jul 2026 — upgraded to Sonnet because Haiku MISSED plates (~3.75x cost, CHANGELOG). 'Cheapest model' has already failed this task once; any switch needs the eval in 'Switch Test Plan'.</t>
        </is>
      </c>
    </row>
    <row r="12" ht="15" customHeight="1" s="17"/>
    <row r="13" ht="15" customHeight="1" s="17"/>
  </sheetData>
  <mergeCells count="1">
    <mergeCell ref="A11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16" min="1" max="1"/>
    <col width="14" customWidth="1" style="16" min="2" max="3"/>
    <col width="30" customWidth="1" style="16" min="4" max="4"/>
    <col width="52" customWidth="1" style="16" min="5" max="5"/>
  </cols>
  <sheetData>
    <row r="1" ht="15" customHeight="1" s="17">
      <c r="A1" s="18" t="inlineStr">
        <is>
          <t>Provider pricing — web-verified 16 Jul 2026 · RE-VERIFY BEFORE ANY SWITCH (prices move monthly)</t>
        </is>
      </c>
    </row>
    <row r="3" ht="26.85" customHeight="1" s="17">
      <c r="A3" s="19" t="inlineStr">
        <is>
          <t>Provider / model</t>
        </is>
      </c>
      <c r="B3" s="19" t="inlineStr">
        <is>
          <t>$ per 1M input</t>
        </is>
      </c>
      <c r="C3" s="19" t="inlineStr">
        <is>
          <t>$ per 1M output</t>
        </is>
      </c>
      <c r="D3" s="19" t="inlineStr">
        <is>
          <t>Image billing</t>
        </is>
      </c>
      <c r="E3" s="19" t="inlineStr">
        <is>
          <t>Source / note</t>
        </is>
      </c>
    </row>
    <row r="4" ht="23.85" customHeight="1" s="17">
      <c r="A4" s="20" t="inlineStr">
        <is>
          <t>Anthropic Claude Sonnet 5 (current)</t>
        </is>
      </c>
      <c r="B4" s="22" t="n">
        <v>3</v>
      </c>
      <c r="C4" s="22" t="n">
        <v>15</v>
      </c>
      <c r="D4" s="20" t="inlineStr">
        <is>
          <t>(w x h)/750 tokens</t>
        </is>
      </c>
      <c r="E4" s="20" t="inlineStr">
        <is>
          <t>platform.claude.com — intro $2/$10 until 31 Aug 2026; Batch API -50%</t>
        </is>
      </c>
    </row>
    <row r="5" ht="23.85" customHeight="1" s="17">
      <c r="A5" s="20" t="inlineStr">
        <is>
          <t>Anthropic Claude Haiku 4.5</t>
        </is>
      </c>
      <c r="B5" s="22" t="n">
        <v>1</v>
      </c>
      <c r="C5" s="22" t="n">
        <v>5</v>
      </c>
      <c r="D5" s="20" t="inlineStr">
        <is>
          <t>(w x h)/750 tokens</t>
        </is>
      </c>
      <c r="E5" s="20" t="inlineStr">
        <is>
          <t>platform.claude.com — FAILED this task pre-7-Jul (missed plates)</t>
        </is>
      </c>
    </row>
    <row r="6" ht="15" customHeight="1" s="17">
      <c r="A6" s="20" t="inlineStr">
        <is>
          <t>OpenAI GPT-4.1-mini</t>
        </is>
      </c>
      <c r="B6" s="22" t="n">
        <v>0.4</v>
      </c>
      <c r="C6" s="22" t="n">
        <v>1.6</v>
      </c>
      <c r="D6" s="20" t="inlineStr">
        <is>
          <t>patch tokens, ~1.6x multiplier</t>
        </is>
      </c>
      <c r="E6" s="20" t="inlineStr">
        <is>
          <t>developers.openai.com/api/docs/pricing</t>
        </is>
      </c>
    </row>
    <row r="7" ht="15" customHeight="1" s="17">
      <c r="A7" s="20" t="inlineStr">
        <is>
          <t>OpenAI GPT-4.1-nano</t>
        </is>
      </c>
      <c r="B7" s="22" t="n">
        <v>0.1</v>
      </c>
      <c r="C7" s="22" t="n">
        <v>0.4</v>
      </c>
      <c r="D7" s="20" t="inlineStr">
        <is>
          <t>patch tokens, ~2.5x multiplier</t>
        </is>
      </c>
      <c r="E7" s="20" t="inlineStr">
        <is>
          <t>cheapest OpenAI vision; recall risk highest</t>
        </is>
      </c>
    </row>
    <row r="8" ht="23.85" customHeight="1" s="17">
      <c r="A8" s="20" t="inlineStr">
        <is>
          <t>Google Gemini 2.5 Flash-Lite</t>
        </is>
      </c>
      <c r="B8" s="22" t="n">
        <v>0.1</v>
      </c>
      <c r="C8" s="22" t="n">
        <v>0.4</v>
      </c>
      <c r="D8" s="20" t="inlineStr">
        <is>
          <t>images billed AS TOKENS at same rate</t>
        </is>
      </c>
      <c r="E8" s="20" t="inlineStr">
        <is>
          <t>ai.google.dev — cheapest capable candidate</t>
        </is>
      </c>
    </row>
    <row r="9" ht="15" customHeight="1" s="17">
      <c r="A9" s="20" t="inlineStr">
        <is>
          <t>Google Gemini 3 Flash (preview)</t>
        </is>
      </c>
      <c r="B9" s="22" t="n">
        <v>0.5</v>
      </c>
      <c r="C9" s="22" t="n">
        <v>3</v>
      </c>
      <c r="D9" s="20" t="inlineStr">
        <is>
          <t>per-image token schedule</t>
        </is>
      </c>
      <c r="E9" s="20" t="inlineStr">
        <is>
          <t>tldl.io roundup — preview pricing, confirm at GA</t>
        </is>
      </c>
    </row>
    <row r="10" ht="23.85" customHeight="1" s="17">
      <c r="A10" s="20" t="inlineStr">
        <is>
          <t>Z.ai GLM-5.2</t>
        </is>
      </c>
      <c r="B10" s="22" t="n">
        <v>1.4</v>
      </c>
      <c r="C10" s="22" t="n">
        <v>4.4</v>
      </c>
      <c r="D10" s="20" t="inlineStr">
        <is>
          <t>same per-token as text</t>
        </is>
      </c>
      <c r="E10" s="20" t="inlineStr">
        <is>
          <t>docs.z.ai — $0.95/$3.00 via OpenRouter; see sovereignty note</t>
        </is>
      </c>
    </row>
    <row r="11">
      <c r="A11" s="23" t="inlineStr">
        <is>
          <t>Z.ai GLM-4.6V-FlashX (budget vision)</t>
        </is>
      </c>
      <c r="B11" s="24" t="n">
        <v>0.04</v>
      </c>
      <c r="C11" s="24" t="n">
        <v>0.4</v>
      </c>
      <c r="D11" s="23" t="inlineStr">
        <is>
          <t>same per-token as text</t>
        </is>
      </c>
      <c r="E11" s="23" t="inlineStr">
        <is>
          <t>docs.z.ai — GLM-4.6V-Flash tier is FREE (rate-limited); 5.2 above is their FLAGSHIP, not the fair comparator</t>
        </is>
      </c>
    </row>
    <row r="12" ht="15" customHeight="1" s="17"/>
    <row r="13" ht="15" customHeight="1" s="17"/>
    <row r="15" ht="15" customHeight="1" s="17"/>
    <row r="16">
      <c r="A16" s="26" t="inlineStr">
        <is>
          <t>Yellow/blue cells are editable inputs — the whole model recalculates from them.</t>
        </is>
      </c>
    </row>
  </sheetData>
  <mergeCells count="1">
    <mergeCell ref="A12:E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6" min="1" max="1"/>
    <col width="14" customWidth="1" style="16" min="2" max="3"/>
    <col width="16" customWidth="1" style="16" min="4" max="4"/>
    <col width="13" customWidth="1" style="16" min="5" max="7"/>
  </cols>
  <sheetData>
    <row r="1" ht="15" customHeight="1" s="17">
      <c r="A1" s="18" t="inlineStr">
        <is>
          <t>Per-photo cost model — every figure below is a FORMULA from these assumptions</t>
        </is>
      </c>
    </row>
    <row r="3" ht="15" customHeight="1" s="17">
      <c r="A3" s="27" t="inlineStr">
        <is>
          <t>Assumption</t>
        </is>
      </c>
      <c r="B3" s="27" t="inlineStr">
        <is>
          <t>Value</t>
        </is>
      </c>
      <c r="C3" s="27" t="inlineStr">
        <is>
          <t>Note</t>
        </is>
      </c>
    </row>
    <row r="4" ht="15" customHeight="1" s="17">
      <c r="A4" s="16" t="inlineStr">
        <is>
          <t>Probe image tokens (1344px, Anthropic /750 rule)</t>
        </is>
      </c>
      <c r="B4" s="28" t="n">
        <v>1806</v>
      </c>
      <c r="C4" s="16" t="inlineStr">
        <is>
          <t>raised 896-&gt;1344 on 11 Jul (small plates) — THE step that moved $4.80 to ~$13</t>
        </is>
      </c>
    </row>
    <row r="5" ht="15" customHeight="1" s="17">
      <c r="A5" s="16" t="inlineStr">
        <is>
          <t>Scan prompt tokens</t>
        </is>
      </c>
      <c r="B5" s="28" t="n">
        <v>650</v>
      </c>
      <c r="C5" s="16" t="inlineStr">
        <is>
          <t>incl. 15 Jul moderation clause</t>
        </is>
      </c>
    </row>
    <row r="6" ht="15" customHeight="1" s="17">
      <c r="A6" s="16" t="inlineStr">
        <is>
          <t>Scan output tokens</t>
        </is>
      </c>
      <c r="B6" s="28" t="n">
        <v>80</v>
      </c>
      <c r="C6" s="16" t="inlineStr">
        <is>
          <t>verdict+boxes+subject+flag</t>
        </is>
      </c>
    </row>
    <row r="7" ht="15" customHeight="1" s="17">
      <c r="A7" s="16" t="inlineStr">
        <is>
          <t>Refine call input tokens (crop+prompt)</t>
        </is>
      </c>
      <c r="B7" s="28" t="n">
        <v>1000</v>
      </c>
      <c r="C7" s="16" t="inlineStr">
        <is>
          <t>per redacted photo</t>
        </is>
      </c>
    </row>
    <row r="8" ht="15" customHeight="1" s="17">
      <c r="A8" s="16" t="inlineStr">
        <is>
          <t>Refine output tokens</t>
        </is>
      </c>
      <c r="B8" s="28" t="n">
        <v>60</v>
      </c>
    </row>
    <row r="9" ht="15" customHeight="1" s="17">
      <c r="A9" s="16" t="inlineStr">
        <is>
          <t>Verify = one more full scan</t>
        </is>
      </c>
      <c r="B9" s="28" t="n">
        <v>1</v>
      </c>
      <c r="C9" s="16" t="inlineStr">
        <is>
          <t>1 = yes</t>
        </is>
      </c>
    </row>
    <row r="10" ht="15" customHeight="1" s="17">
      <c r="A10" s="16" t="inlineStr">
        <is>
          <t>Share of photos needing redaction</t>
        </is>
      </c>
      <c r="B10" s="28" t="n">
        <v>0.3</v>
      </c>
      <c r="C10" s="16" t="inlineStr">
        <is>
          <t>car-heavy mix; lower for property</t>
        </is>
      </c>
    </row>
    <row r="11" ht="15" customHeight="1" s="17">
      <c r="A11" s="16" t="inlineStr">
        <is>
          <t>Extra rounds share (stubborn photos)</t>
        </is>
      </c>
      <c r="B11" s="28" t="n">
        <v>0.05</v>
      </c>
      <c r="C11" s="16" t="inlineStr">
        <is>
          <t>multi-round verify</t>
        </is>
      </c>
    </row>
    <row r="12" ht="15" customHeight="1" s="17">
      <c r="A12" s="16" t="inlineStr">
        <is>
          <t>Extra rounds cost multiplier</t>
        </is>
      </c>
      <c r="B12" s="28" t="n">
        <v>2.5</v>
      </c>
      <c r="C12" s="16" t="inlineStr">
        <is>
          <t>x the redacted-photo cost</t>
        </is>
      </c>
    </row>
    <row r="15" ht="15" customHeight="1" s="17">
      <c r="A15" s="29" t="inlineStr">
        <is>
          <t>Provider</t>
        </is>
      </c>
      <c r="B15" s="29" t="inlineStr">
        <is>
          <t>Img tok factor</t>
        </is>
      </c>
      <c r="C15" s="29" t="inlineStr">
        <is>
          <t>$ clean photo</t>
        </is>
      </c>
      <c r="D15" s="29" t="inlineStr">
        <is>
          <t>$ redacted photo</t>
        </is>
      </c>
      <c r="E15" s="29" t="inlineStr">
        <is>
          <t>$ avg photo</t>
        </is>
      </c>
      <c r="F15" s="29" t="inlineStr">
        <is>
          <t>$ per 1,000</t>
        </is>
      </c>
      <c r="G15" s="29" t="inlineStr">
        <is>
          <t>$ per 20,000</t>
        </is>
      </c>
    </row>
    <row r="16" ht="15" customHeight="1" s="17">
      <c r="A16" s="30" t="inlineStr">
        <is>
          <t>Claude Sonnet 5 (today)</t>
        </is>
      </c>
      <c r="B16" s="31" t="n">
        <v>1</v>
      </c>
      <c r="C16" s="32">
        <f>(($B$4*B16)+$B$5)*'Pricing (Jul 2026)'!$B$4/1000000+$B$6*'Pricing (Jul 2026)'!$C$4/1000000</f>
        <v/>
      </c>
      <c r="D16" s="32">
        <f>C16+($B$7*'Pricing (Jul 2026)'!$B$4/1000000+$B$8*'Pricing (Jul 2026)'!$C$4/1000000)+IF($B$9=1,C16,0)</f>
        <v/>
      </c>
      <c r="E16" s="32">
        <f>(1-$B$10)*C16+$B$10*D16+$B$11*($B$12-1)*D16</f>
        <v/>
      </c>
      <c r="F16" s="33">
        <f>E16*1000</f>
        <v/>
      </c>
      <c r="G16" s="33">
        <f>E16*20000</f>
        <v/>
      </c>
    </row>
    <row r="17" ht="15" customHeight="1" s="17">
      <c r="A17" s="30" t="inlineStr">
        <is>
          <t>Claude Haiku 4.5</t>
        </is>
      </c>
      <c r="B17" s="31" t="n">
        <v>1</v>
      </c>
      <c r="C17" s="32">
        <f>(($B$4*B17)+$B$5)*'Pricing (Jul 2026)'!$B$5/1000000+$B$6*'Pricing (Jul 2026)'!$C$5/1000000</f>
        <v/>
      </c>
      <c r="D17" s="32">
        <f>C17+($B$7*'Pricing (Jul 2026)'!$B$5/1000000+$B$8*'Pricing (Jul 2026)'!$C$5/1000000)+IF($B$9=1,C17,0)</f>
        <v/>
      </c>
      <c r="E17" s="32">
        <f>(1-$B$10)*C17+$B$10*D17+$B$11*($B$12-1)*D17</f>
        <v/>
      </c>
      <c r="F17" s="33">
        <f>E17*1000</f>
        <v/>
      </c>
      <c r="G17" s="33">
        <f>E17*20000</f>
        <v/>
      </c>
    </row>
    <row r="18" ht="15" customHeight="1" s="17">
      <c r="A18" s="30" t="inlineStr">
        <is>
          <t>GPT-4.1-mini</t>
        </is>
      </c>
      <c r="B18" s="31" t="n">
        <v>1.45</v>
      </c>
      <c r="C18" s="32">
        <f>(($B$4*B18)+$B$5)*'Pricing (Jul 2026)'!$B$6/1000000+$B$6*'Pricing (Jul 2026)'!$C$6/1000000</f>
        <v/>
      </c>
      <c r="D18" s="32">
        <f>C18+($B$7*'Pricing (Jul 2026)'!$B$6/1000000+$B$8*'Pricing (Jul 2026)'!$C$6/1000000)+IF($B$9=1,C18,0)</f>
        <v/>
      </c>
      <c r="E18" s="32">
        <f>(1-$B$10)*C18+$B$10*D18+$B$11*($B$12-1)*D18</f>
        <v/>
      </c>
      <c r="F18" s="33">
        <f>E18*1000</f>
        <v/>
      </c>
      <c r="G18" s="33">
        <f>E18*20000</f>
        <v/>
      </c>
    </row>
    <row r="19" ht="15" customHeight="1" s="17">
      <c r="A19" s="30" t="inlineStr">
        <is>
          <t>GPT-4.1-nano</t>
        </is>
      </c>
      <c r="B19" s="31" t="n">
        <v>2.2</v>
      </c>
      <c r="C19" s="32">
        <f>(($B$4*B19)+$B$5)*'Pricing (Jul 2026)'!$B$7/1000000+$B$6*'Pricing (Jul 2026)'!$C$7/1000000</f>
        <v/>
      </c>
      <c r="D19" s="32">
        <f>C19+($B$7*'Pricing (Jul 2026)'!$B$7/1000000+$B$8*'Pricing (Jul 2026)'!$C$7/1000000)+IF($B$9=1,C19,0)</f>
        <v/>
      </c>
      <c r="E19" s="32">
        <f>(1-$B$10)*C19+$B$10*D19+$B$11*($B$12-1)*D19</f>
        <v/>
      </c>
      <c r="F19" s="33">
        <f>E19*1000</f>
        <v/>
      </c>
      <c r="G19" s="33">
        <f>E19*20000</f>
        <v/>
      </c>
    </row>
    <row r="20" ht="15" customHeight="1" s="17">
      <c r="A20" s="30" t="inlineStr">
        <is>
          <t>Gemini 2.5 Flash-Lite</t>
        </is>
      </c>
      <c r="B20" s="31" t="n">
        <v>0.6</v>
      </c>
      <c r="C20" s="32">
        <f>(($B$4*B20)+$B$5)*'Pricing (Jul 2026)'!$B$8/1000000+$B$6*'Pricing (Jul 2026)'!$C$8/1000000</f>
        <v/>
      </c>
      <c r="D20" s="32">
        <f>C20+($B$7*'Pricing (Jul 2026)'!$B$8/1000000+$B$8*'Pricing (Jul 2026)'!$C$8/1000000)+IF($B$9=1,C20,0)</f>
        <v/>
      </c>
      <c r="E20" s="32">
        <f>(1-$B$10)*C20+$B$10*D20+$B$11*($B$12-1)*D20</f>
        <v/>
      </c>
      <c r="F20" s="33">
        <f>E20*1000</f>
        <v/>
      </c>
      <c r="G20" s="33">
        <f>E20*20000</f>
        <v/>
      </c>
    </row>
    <row r="21" ht="15" customHeight="1" s="17">
      <c r="A21" s="30" t="inlineStr">
        <is>
          <t>Gemini 3 Flash (preview)</t>
        </is>
      </c>
      <c r="B21" s="31" t="n">
        <v>0.6</v>
      </c>
      <c r="C21" s="32">
        <f>(($B$4*B21)+$B$5)*'Pricing (Jul 2026)'!$B$9/1000000+$B$6*'Pricing (Jul 2026)'!$C$9/1000000</f>
        <v/>
      </c>
      <c r="D21" s="32">
        <f>C21+($B$7*'Pricing (Jul 2026)'!$B$9/1000000+$B$8*'Pricing (Jul 2026)'!$C$9/1000000)+IF($B$9=1,C21,0)</f>
        <v/>
      </c>
      <c r="E21" s="32">
        <f>(1-$B$10)*C21+$B$10*D21+$B$11*($B$12-1)*D21</f>
        <v/>
      </c>
      <c r="F21" s="33">
        <f>E21*1000</f>
        <v/>
      </c>
      <c r="G21" s="33">
        <f>E21*20000</f>
        <v/>
      </c>
    </row>
    <row r="22" ht="15" customHeight="1" s="17">
      <c r="A22" s="30" t="inlineStr">
        <is>
          <t>GLM-5.2</t>
        </is>
      </c>
      <c r="B22" s="31" t="n">
        <v>1</v>
      </c>
      <c r="C22" s="32">
        <f>(($B$4*B22)+$B$5)*'Pricing (Jul 2026)'!$B$10/1000000+$B$6*'Pricing (Jul 2026)'!$C$10/1000000</f>
        <v/>
      </c>
      <c r="D22" s="32">
        <f>C22+($B$7*'Pricing (Jul 2026)'!$B$10/1000000+$B$8*'Pricing (Jul 2026)'!$C$10/1000000)+IF($B$9=1,C22,0)</f>
        <v/>
      </c>
      <c r="E22" s="32">
        <f>(1-$B$10)*C22+$B$10*D22+$B$11*($B$12-1)*D22</f>
        <v/>
      </c>
      <c r="F22" s="33">
        <f>E22*1000</f>
        <v/>
      </c>
      <c r="G22" s="33">
        <f>E22*20000</f>
        <v/>
      </c>
    </row>
    <row r="23">
      <c r="A23" s="34" t="inlineStr">
        <is>
          <t>GLM-4.6V-FlashX (budget)</t>
        </is>
      </c>
      <c r="B23" s="35" t="n">
        <v>1</v>
      </c>
      <c r="C23" s="36">
        <f>(($B$4*B23)+$B$5)*'Pricing (Jul 2026)'!$B$11/1000000+$B$6*'Pricing (Jul 2026)'!$C$11/1000000</f>
        <v/>
      </c>
      <c r="D23" s="36">
        <f>C23+($B$7*'Pricing (Jul 2026)'!$B$11/1000000+$B$8*'Pricing (Jul 2026)'!$C$11/1000000)+IF($B$9=1,C23,0)</f>
        <v/>
      </c>
      <c r="E23" s="36">
        <f>(1-$B$10)*C23+$B$10*D23+$B$11*($B$12-1)*D23</f>
        <v/>
      </c>
      <c r="F23" s="37">
        <f>E23*1000</f>
        <v/>
      </c>
      <c r="G23" s="37">
        <f>E23*20000</f>
        <v/>
      </c>
    </row>
    <row r="25" ht="15" customHeight="1" s="17">
      <c r="A25" s="26" t="inlineStr">
        <is>
          <t>Anthropic Batch API (-50%) applies to agency imports (async): Sonnet avg x0.5 — see Scenarios.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6" min="1" max="1"/>
    <col width="10" customWidth="1" style="16" min="2" max="2"/>
    <col width="13" customWidth="1" style="16" min="3" max="3"/>
    <col width="16" customWidth="1" style="16" min="4" max="4"/>
    <col width="13" customWidth="1" style="16" min="5" max="5"/>
    <col width="17" customWidth="1" style="16" min="6" max="6"/>
    <col width="30" customWidth="1" style="16" min="7" max="7"/>
  </cols>
  <sheetData>
    <row r="1" ht="15" customHeight="1" s="17">
      <c r="A1" s="18" t="inlineStr">
        <is>
          <t>What it actually costs — scenarios (formulas pull from 'Per-photo model')</t>
        </is>
      </c>
    </row>
    <row r="3" ht="26.85" customHeight="1" s="17">
      <c r="A3" s="19" t="inlineStr">
        <is>
          <t>Scenario</t>
        </is>
      </c>
      <c r="B3" s="19" t="inlineStr">
        <is>
          <t>Photos</t>
        </is>
      </c>
      <c r="C3" s="19" t="inlineStr">
        <is>
          <t>Sonnet today</t>
        </is>
      </c>
      <c r="D3" s="19" t="inlineStr">
        <is>
          <t>Sonnet Batch (-50%)</t>
        </is>
      </c>
      <c r="E3" s="19" t="inlineStr">
        <is>
          <t>GPT-4.1-mini</t>
        </is>
      </c>
      <c r="F3" s="19" t="inlineStr">
        <is>
          <t>Gemini 2.5 Flash-Lite</t>
        </is>
      </c>
      <c r="G3" s="19" t="inlineStr">
        <is>
          <t>Ceiling headroom note</t>
        </is>
      </c>
    </row>
    <row r="4" ht="15" customHeight="1" s="17">
      <c r="A4" s="20" t="inlineStr">
        <is>
          <t>David's challenge: 20,000 photos in a day</t>
        </is>
      </c>
      <c r="B4" s="22" t="n">
        <v>20000</v>
      </c>
      <c r="C4" s="38">
        <f>B4*'Per-photo model'!$E$16</f>
        <v/>
      </c>
      <c r="D4" s="38">
        <f>B4*'Per-photo model'!$E$16*0.5</f>
        <v/>
      </c>
      <c r="E4" s="38">
        <f>B4*'Per-photo model'!$E$18</f>
        <v/>
      </c>
      <c r="F4" s="38">
        <f>B4*'Per-photo model'!$E$20</f>
        <v/>
      </c>
      <c r="G4" s="20">
        <f>IF(C4&gt;100,"exceeds $100/day on Sonnet","fits under the daily ceiling")</f>
        <v/>
      </c>
    </row>
    <row r="5" ht="15" customHeight="1" s="17">
      <c r="A5" s="20" t="inlineStr">
        <is>
          <t>Large agency import: 300 adverts x 5</t>
        </is>
      </c>
      <c r="B5" s="22" t="n">
        <v>1500</v>
      </c>
      <c r="C5" s="38">
        <f>B5*'Per-photo model'!$E$16</f>
        <v/>
      </c>
      <c r="D5" s="38">
        <f>B5*'Per-photo model'!$E$16*0.5</f>
        <v/>
      </c>
      <c r="E5" s="38">
        <f>B5*'Per-photo model'!$E$18</f>
        <v/>
      </c>
      <c r="F5" s="38">
        <f>B5*'Per-photo model'!$E$20</f>
        <v/>
      </c>
      <c r="G5" s="20">
        <f>IF(C5&gt;100,"exceeds $100/day on Sonnet","fits under the daily ceiling")</f>
        <v/>
      </c>
    </row>
    <row r="6" ht="15" customHeight="1" s="17">
      <c r="A6" s="20" t="inlineStr">
        <is>
          <t>Monster agency: 1,000 adverts x 5</t>
        </is>
      </c>
      <c r="B6" s="22" t="n">
        <v>5000</v>
      </c>
      <c r="C6" s="38">
        <f>B6*'Per-photo model'!$E$16</f>
        <v/>
      </c>
      <c r="D6" s="38">
        <f>B6*'Per-photo model'!$E$16*0.5</f>
        <v/>
      </c>
      <c r="E6" s="38">
        <f>B6*'Per-photo model'!$E$18</f>
        <v/>
      </c>
      <c r="F6" s="38">
        <f>B6*'Per-photo model'!$E$20</f>
        <v/>
      </c>
      <c r="G6" s="20">
        <f>IF(C6&gt;100,"exceeds $100/day on Sonnet","fits under the daily ceiling")</f>
        <v/>
      </c>
    </row>
    <row r="7" ht="15" customHeight="1" s="17">
      <c r="A7" s="20" t="inlineStr">
        <is>
          <t>1,000 photos (the reference unit)</t>
        </is>
      </c>
      <c r="B7" s="22" t="n">
        <v>1000</v>
      </c>
      <c r="C7" s="38">
        <f>B7*'Per-photo model'!$E$16</f>
        <v/>
      </c>
      <c r="D7" s="38">
        <f>B7*'Per-photo model'!$E$16*0.5</f>
        <v/>
      </c>
      <c r="E7" s="38">
        <f>B7*'Per-photo model'!$E$18</f>
        <v/>
      </c>
      <c r="F7" s="38">
        <f>B7*'Per-photo model'!$E$20</f>
        <v/>
      </c>
      <c r="G7" s="20">
        <f>IF(C7&gt;100,"exceeds $100/day on Sonnet","fits under the daily ceiling")</f>
        <v/>
      </c>
    </row>
    <row r="8" ht="23.85" customHeight="1" s="17">
      <c r="A8" s="20" t="inlineStr">
        <is>
          <t>Year-1 volume (~11,700 listings, 24-cap, 70% use)</t>
        </is>
      </c>
      <c r="B8" s="22" t="n">
        <v>197000</v>
      </c>
      <c r="C8" s="38">
        <f>B8*'Per-photo model'!$E$16</f>
        <v/>
      </c>
      <c r="D8" s="38">
        <f>B8*'Per-photo model'!$E$16*0.5</f>
        <v/>
      </c>
      <c r="E8" s="38">
        <f>B8*'Per-photo model'!$E$18</f>
        <v/>
      </c>
      <c r="F8" s="38">
        <f>B8*'Per-photo model'!$E$20</f>
        <v/>
      </c>
      <c r="G8" s="20">
        <f>IF(C8&gt;100,"exceeds $100/day on Sonnet","fits under the daily ceiling")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6" min="1" max="1"/>
    <col width="30" customWidth="1" style="16" min="2" max="2"/>
    <col width="95" customWidth="1" style="16" min="3" max="3"/>
  </cols>
  <sheetData>
    <row r="1" ht="15" customHeight="1" s="17">
      <c r="A1" s="18" t="inlineStr">
        <is>
          <t>Model switch-over: how we test WITHOUT risking a single live leak</t>
        </is>
      </c>
    </row>
    <row r="3" ht="15" customHeight="1" s="17">
      <c r="A3" s="19" t="inlineStr">
        <is>
          <t>Step</t>
        </is>
      </c>
      <c r="B3" s="19" t="inlineStr">
        <is>
          <t>What</t>
        </is>
      </c>
      <c r="C3" s="19" t="inlineStr">
        <is>
          <t>Detail</t>
        </is>
      </c>
    </row>
    <row r="4" ht="35.05" customHeight="1" s="17">
      <c r="A4" s="20" t="inlineStr">
        <is>
          <t>0</t>
        </is>
      </c>
      <c r="B4" s="20" t="inlineStr">
        <is>
          <t>Freeze the eval set</t>
        </is>
      </c>
      <c r="C4" s="20" t="inlineStr">
        <is>
          <t>~30 photos: listing-246 originals (real plates incl. the tiny background one), the synthetic skew/word-plate set, 5 clean interiors, 3 'inappropriate' samples, 3 off-category. Stored privately; never changes, so every model scores on identical evidence.</t>
        </is>
      </c>
    </row>
    <row r="5" ht="35.05" customHeight="1" s="17">
      <c r="A5" s="20" t="inlineStr">
        <is>
          <t>1</t>
        </is>
      </c>
      <c r="B5" s="20" t="inlineStr">
        <is>
          <t>Score candidates offline</t>
        </is>
      </c>
      <c r="C5" s="20" t="inlineStr">
        <is>
          <t>Run each candidate on the eval set via the ai_provider seam. Score: plate recall (MUST be 100% on the set), box tightness (IoU vs hand-drawn truth), angle accuracy, JSON validity rate, subject/flag accuracy. One afternoon, costs cents.</t>
        </is>
      </c>
    </row>
    <row r="6" ht="46.25" customHeight="1" s="17">
      <c r="A6" s="20" t="inlineStr">
        <is>
          <t>2</t>
        </is>
      </c>
      <c r="B6" s="20" t="inlineStr">
        <is>
          <t>Mixed-roles canary (the safe money-saver)</t>
        </is>
      </c>
      <c r="C6" s="20" t="inlineStr">
        <is>
          <t>Cheap model as SCANNER+REFINER, Sonnet stays as VERIFIER on every redaction. A weak scanner then degrades to more verify rounds — never to a leak. Saving depends on the clean-photo share: the scanner is the only call on clean photos, so this is where recall matters most. Gate: 2 weeks, zero verifier catches of scanner-missed plates.</t>
        </is>
      </c>
    </row>
    <row r="7" ht="23.85" customHeight="1" s="17">
      <c r="A7" s="20" t="inlineStr">
        <is>
          <t>3</t>
        </is>
      </c>
      <c r="B7" s="20" t="inlineStr">
        <is>
          <t>Full switch decision</t>
        </is>
      </c>
      <c r="C7" s="20" t="inlineStr">
        <is>
          <t>Only after the canary: verifier moves last, because the verifier IS the leak guarantee. Keep Sonnet routing one env-var away (the seam already supports per-task providers) as the rollback.</t>
        </is>
      </c>
    </row>
    <row r="8" ht="35.05" customHeight="1" s="17">
      <c r="A8" s="20" t="n"/>
      <c r="B8" s="20" t="inlineStr">
        <is>
          <t>Immediate savings needing NO vendor risk</t>
        </is>
      </c>
      <c r="C8" s="20" t="inlineStr">
        <is>
          <t>(a) Anthropic Batch API for agency imports: -50%, async fits imports naturally. (b) Sonnet intro pricing $2/$10 until 31 Aug already ~33% off the modelled $3. (c) Property/LM photos rarely carry plates — a per-category redaction-mix assumption cuts the blended average further.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8" customWidth="1" style="17" min="1" max="1"/>
    <col width="8" customWidth="1" style="17" min="2" max="2"/>
    <col width="8" customWidth="1" style="17" min="3" max="3"/>
    <col width="12" customWidth="1" style="17" min="4" max="4"/>
    <col width="12" customWidth="1" style="17" min="5" max="5"/>
    <col width="12" customWidth="1" style="17" min="6" max="6"/>
    <col width="10" customWidth="1" style="17" min="7" max="7"/>
    <col width="14" customWidth="1" style="17" min="8" max="8"/>
    <col width="60" customWidth="1" style="17" min="9" max="9"/>
  </cols>
  <sheetData>
    <row r="1">
      <c r="A1" s="39" t="inlineStr">
        <is>
          <t>Blur-lane swap costing — 19 Aug 2026 · same per-photo assumptions as 'Per-photo model' sheet · RUL-031</t>
        </is>
      </c>
    </row>
    <row r="2">
      <c r="A2" s="40" t="inlineStr">
        <is>
          <t>Model</t>
        </is>
      </c>
      <c r="B2" s="40" t="inlineStr">
        <is>
          <t>$/M in</t>
        </is>
      </c>
      <c r="C2" s="40" t="inlineStr">
        <is>
          <t>$/M out</t>
        </is>
      </c>
      <c r="D2" s="40" t="inlineStr">
        <is>
          <t>$ clean photo</t>
        </is>
      </c>
      <c r="E2" s="40" t="inlineStr">
        <is>
          <t>$ redacted</t>
        </is>
      </c>
      <c r="F2" s="40" t="inlineStr">
        <is>
          <t>$ avg photo</t>
        </is>
      </c>
      <c r="G2" s="40" t="inlineStr">
        <is>
          <t>$ / 1,000</t>
        </is>
      </c>
      <c r="H2" s="40" t="inlineStr">
        <is>
          <t>$ Year-1 (197k)</t>
        </is>
      </c>
      <c r="I2" s="40" t="inlineStr">
        <is>
          <t>Note</t>
        </is>
      </c>
    </row>
    <row r="3">
      <c r="A3" s="16" t="inlineStr">
        <is>
          <t>OpenAI gpt-5.6-terra (TODAY)</t>
        </is>
      </c>
      <c r="B3" s="16" t="n">
        <v>2</v>
      </c>
      <c r="C3" s="16" t="n">
        <v>12</v>
      </c>
      <c r="D3" s="16" t="n">
        <v>0.00587</v>
      </c>
      <c r="E3" s="16" t="n">
        <v>0.01446</v>
      </c>
      <c r="F3" s="16" t="n">
        <v>0.00878</v>
      </c>
      <c r="G3" s="16" t="n">
        <v>8.779999999999999</v>
      </c>
      <c r="H3" s="16" t="n">
        <v>1729</v>
      </c>
      <c r="I3" s="16" t="inlineStr">
        <is>
          <t>current standing lane — the one that just failed</t>
        </is>
      </c>
    </row>
    <row r="4">
      <c r="A4" s="16" t="inlineStr">
        <is>
          <t>Anthropic Sonnet 4.6 (failover)</t>
        </is>
      </c>
      <c r="B4" s="16" t="n">
        <v>3</v>
      </c>
      <c r="C4" s="16" t="n">
        <v>15</v>
      </c>
      <c r="D4" s="16" t="n">
        <v>0.008569999999999999</v>
      </c>
      <c r="E4" s="16" t="n">
        <v>0.02104</v>
      </c>
      <c r="F4" s="16" t="n">
        <v>0.01278</v>
      </c>
      <c r="G4" s="16" t="n">
        <v>12.78</v>
      </c>
      <c r="H4" s="16" t="n">
        <v>2518</v>
      </c>
      <c r="I4" s="16" t="inlineStr">
        <is>
          <t>pre-14-Aug lane — failed the same way</t>
        </is>
      </c>
    </row>
    <row r="5">
      <c r="A5" s="16" t="inlineStr">
        <is>
          <t>Scaleway mistral-medium-3.5 (net)</t>
        </is>
      </c>
      <c r="B5" s="16" t="n">
        <v>1.56</v>
      </c>
      <c r="C5" s="16" t="n">
        <v>9.369999999999999</v>
      </c>
      <c r="D5" s="16" t="n">
        <v>0.00458</v>
      </c>
      <c r="E5" s="16" t="n">
        <v>0.01128</v>
      </c>
      <c r="F5" s="16" t="n">
        <v>0.00685</v>
      </c>
      <c r="G5" s="16" t="n">
        <v>6.85</v>
      </c>
      <c r="H5" s="16" t="n">
        <v>1349</v>
      </c>
      <c r="I5" s="16" t="inlineStr">
        <is>
          <t>derived from 0.781x baseline multiple</t>
        </is>
      </c>
    </row>
    <row r="6">
      <c r="A6" s="16" t="inlineStr">
        <is>
          <t>Gemini 3.7 Flash</t>
        </is>
      </c>
      <c r="B6" s="16" t="n">
        <v>0.75</v>
      </c>
      <c r="C6" s="16" t="n">
        <v>3.75</v>
      </c>
      <c r="D6" s="16" t="n">
        <v>0.0016</v>
      </c>
      <c r="E6" s="16" t="n">
        <v>0.00418</v>
      </c>
      <c r="F6" s="16" t="n">
        <v>0.00269</v>
      </c>
      <c r="G6" s="16" t="n">
        <v>2.69</v>
      </c>
      <c r="H6" s="16" t="n">
        <v>529</v>
      </c>
      <c r="I6" s="16" t="inlineStr">
        <is>
          <t>CORRECTED 26 Aug 2026 — first-party ai.google.dev STANDARD tier $0.75/$3.75 (the 19 Aug row used $0.375 = the BATCH rate, and a $1.50 out ESTIMATE). Was modelled $224/yr.</t>
        </is>
      </c>
    </row>
    <row r="7">
      <c r="A7" s="16" t="inlineStr">
        <is>
          <t>Grok 4.1 Fast</t>
        </is>
      </c>
      <c r="B7" s="16" t="n">
        <v>0.2</v>
      </c>
      <c r="C7" s="16" t="n">
        <v>0.5</v>
      </c>
      <c r="D7" s="16" t="n">
        <v>0.00053</v>
      </c>
      <c r="E7" s="16" t="n">
        <v>0.00129</v>
      </c>
      <c r="F7" s="16" t="n">
        <v>0.00079</v>
      </c>
      <c r="G7" s="16" t="n">
        <v>0.79</v>
      </c>
      <c r="H7" s="16" t="n">
        <v>155</v>
      </c>
      <c r="I7" s="16" t="inlineStr">
        <is>
          <t>xAI volume tier</t>
        </is>
      </c>
    </row>
    <row r="8">
      <c r="A8" s="16" t="inlineStr">
        <is>
          <t>Grok 4.6</t>
        </is>
      </c>
      <c r="B8" s="16" t="n">
        <v>2</v>
      </c>
      <c r="C8" s="16" t="n">
        <v>6</v>
      </c>
      <c r="D8" s="16" t="n">
        <v>0.00539</v>
      </c>
      <c r="E8" s="16" t="n">
        <v>0.01314</v>
      </c>
      <c r="F8" s="16" t="n">
        <v>0.00801</v>
      </c>
      <c r="G8" s="16" t="n">
        <v>8.01</v>
      </c>
      <c r="H8" s="16" t="n">
        <v>1579</v>
      </c>
      <c r="I8" s="16" t="inlineStr">
        <is>
          <t>xAI flagship</t>
        </is>
      </c>
    </row>
    <row r="9">
      <c r="A9" s="16" t="inlineStr">
        <is>
          <t>Qwen3-VL (EU host)</t>
        </is>
      </c>
      <c r="B9" s="16" t="n">
        <v>0.4</v>
      </c>
      <c r="C9" s="16" t="n">
        <v>1.2</v>
      </c>
      <c r="D9" s="16" t="n">
        <v>0.00108</v>
      </c>
      <c r="E9" s="16" t="n">
        <v>0.00263</v>
      </c>
      <c r="F9" s="16" t="n">
        <v>0.0016</v>
      </c>
      <c r="G9" s="16" t="n">
        <v>1.6</v>
      </c>
      <c r="H9" s="16" t="n">
        <v>316</v>
      </c>
      <c r="I9" s="16" t="inlineStr">
        <is>
          <t>ESTIMATE — no EU-host price sheet yet</t>
        </is>
      </c>
    </row>
    <row r="10">
      <c r="A10" s="16" t="inlineStr">
        <is>
          <t>Local CV detector (YOLO+OCR)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inlineStr">
        <is>
          <t>$0 marginal; our CPU</t>
        </is>
      </c>
    </row>
    <row r="11">
      <c r="A11" s="16" t="inlineStr">
        <is>
          <t>CANARY: Gemini scans+refines, terra verifies every redaction (their own Switch Test Plan step 2 — a weak scanner degrades to more verify rounds, never to a leak)</t>
        </is>
      </c>
      <c r="B11" s="16" t="inlineStr"/>
      <c r="C11" s="16" t="inlineStr"/>
      <c r="D11" s="16" t="n">
        <v>0.0016</v>
      </c>
      <c r="E11" s="16" t="n">
        <v>0.008449999999999999</v>
      </c>
      <c r="F11" s="16" t="n">
        <v>0.00429</v>
      </c>
      <c r="G11" s="16" t="n">
        <v>4.29</v>
      </c>
      <c r="H11" s="16" t="n">
        <v>845</v>
      </c>
      <c r="I11" s="16" t="inlineStr">
        <is>
          <t>CORRECTED 26 Aug 2026 on first-party prices. Was modelled $548/yr. Still the cheapest zero-leak-risk step: vs terra-only $1,729/yr.</t>
        </is>
      </c>
    </row>
    <row r="12"/>
    <row r="13">
      <c r="A13" s="16" t="inlineStr">
        <is>
          <t>Context: gate history — Haiku FAILED this task pre-7-Jul (missed plates); 'cheapest' already lost once. Recall on the 30-photo eval set must be 100% BEFORE any traffic (Switch Test Plan). Gemini uniquely returns segmentation MASKS (surgical, not rectangles); Qwen3-VL is grounding-trained; Grok/Mistral are general LLMs like the two that failed. Local CV = $0/call, needs ~2 days + eval.</t>
        </is>
      </c>
    </row>
    <row r="15">
      <c r="A15" t="inlineStr">
        <is>
          <t>PRICE STEP — Gemini introductory pricing EXPIRES 31 Dec 2026; from 1 Jan 2027 standard is $1.50 in / $7.50 out (2x). Same assumptions, re-costed:</t>
        </is>
      </c>
    </row>
    <row r="16">
      <c r="A16" t="inlineStr">
        <is>
          <t>Model</t>
        </is>
      </c>
      <c r="B16" t="inlineStr">
        <is>
          <t>$/M in</t>
        </is>
      </c>
      <c r="C16" t="inlineStr">
        <is>
          <t>$/M out</t>
        </is>
      </c>
      <c r="D16" t="inlineStr">
        <is>
          <t>$ clean photo</t>
        </is>
      </c>
      <c r="E16" t="inlineStr">
        <is>
          <t>$ redacted</t>
        </is>
      </c>
      <c r="F16" t="inlineStr">
        <is>
          <t>$ avg photo</t>
        </is>
      </c>
      <c r="G16" t="inlineStr">
        <is>
          <t>$ / 1,000</t>
        </is>
      </c>
      <c r="H16" t="inlineStr">
        <is>
          <t>$ Year-1 (197k)</t>
        </is>
      </c>
      <c r="I16" t="inlineStr">
        <is>
          <t>Note</t>
        </is>
      </c>
    </row>
    <row r="17">
      <c r="A17" t="inlineStr">
        <is>
          <t>Gemini 3.7 Flash (from 1 Jan 2027)</t>
        </is>
      </c>
      <c r="B17" t="n">
        <v>1.5</v>
      </c>
      <c r="C17" t="n">
        <v>7.5</v>
      </c>
      <c r="D17" t="n">
        <v>0.0032</v>
      </c>
      <c r="E17" t="n">
        <v>0.00835</v>
      </c>
      <c r="F17" t="n">
        <v>0.00537</v>
      </c>
      <c r="G17" t="n">
        <v>5.37</v>
      </c>
      <c r="H17" t="n">
        <v>1058</v>
      </c>
      <c r="I17" t="inlineStr">
        <is>
          <t>full switch at post-intro pricing</t>
        </is>
      </c>
    </row>
    <row r="18">
      <c r="A18" t="inlineStr">
        <is>
          <t>CANARY (gemini scan+refine, terra verify) — from 1 Jan 2027</t>
        </is>
      </c>
      <c r="B18" t="n">
        <v>1.5</v>
      </c>
      <c r="C18" t="n">
        <v>7.5</v>
      </c>
      <c r="D18" t="n">
        <v>0.0032</v>
      </c>
      <c r="E18" t="n">
        <v>0.01102</v>
      </c>
      <c r="F18" t="n">
        <v>0.00637</v>
      </c>
      <c r="G18" t="n">
        <v>6.37</v>
      </c>
      <c r="H18" t="n">
        <v>1256</v>
      </c>
      <c r="I18" t="inlineStr">
        <is>
          <t>canary at post-intro pricing; margin vs terra-only ($1,729) narrows sharply — decide before the step whether to promote to full switch or move to the local CV detector ($0 marginal).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2026-07-16T14:36:19Z</dcterms:created>
  <dcterms:modified xmlns:dcterms="http://purl.org/dc/terms/" xmlns:xsi="http://www.w3.org/2001/XMLSchema-instance" xsi:type="dcterms:W3CDTF">2026-08-26T02:09:37Z</dcterms:modified>
  <cp:revision>0</cp:revision>
</cp:coreProperties>
</file>