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er-Item Cost" sheetId="2" state="visible" r:id="rId4"/>
    <sheet name="Annual Impact" sheetId="3" state="visible" r:id="rId5"/>
    <sheet name="Policy Options" sheetId="4" state="visible" r:id="rId6"/>
    <sheet name="Optimised" sheetId="5" state="visible" r:id="rId7"/>
    <sheet name="COGS Ceiling Test" sheetId="6" state="visible" r:id="rId8"/>
    <sheet name="Break-even" sheetId="7" state="visible" r:id="rId9"/>
    <sheet name="Budget Finding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<sst xmlns="http://schemas.openxmlformats.org/spreadsheetml/2006/main" count="330" uniqueCount="251">
  <si>
    <t xml:space="preserve">QC Cost Model — Assumptions</t>
  </si>
  <si>
    <t xml:space="preserve">Blue = input you can change. Every other sheet references these cells. MarketSquare, 14 Aug 2026.</t>
  </si>
  <si>
    <t xml:space="preserve">Input</t>
  </si>
  <si>
    <t xml:space="preserve">Value</t>
  </si>
  <si>
    <t xml:space="preserve">Unit</t>
  </si>
  <si>
    <t xml:space="preserve">Source</t>
  </si>
  <si>
    <t xml:space="preserve">MODEL PRICES — $ per 1,000,000 tokens</t>
  </si>
  <si>
    <t xml:space="preserve">ai_price_card.json v2026-08-01.1 — the authoritative register; no doc may cite a price not on this card</t>
  </si>
  <si>
    <t xml:space="preserve">Haiku 4-5 input</t>
  </si>
  <si>
    <t xml:space="preserve">$/Mtok</t>
  </si>
  <si>
    <t xml:space="preserve">ai_price_card.json:44-48</t>
  </si>
  <si>
    <t xml:space="preserve">Haiku 4-5 output</t>
  </si>
  <si>
    <t xml:space="preserve">Sonnet 4-6 input</t>
  </si>
  <si>
    <t xml:space="preserve">ai_price_card.json:91-95</t>
  </si>
  <si>
    <t xml:space="preserve">Sonnet 4-6 output</t>
  </si>
  <si>
    <t xml:space="preserve">GPT-5.6 Luna input</t>
  </si>
  <si>
    <t xml:space="preserve">ai_price_card.json:199-203 — cheapest lane, gate: golden-set-passed</t>
  </si>
  <si>
    <t xml:space="preserve">GPT-5.6 Luna output</t>
  </si>
  <si>
    <t xml:space="preserve">ai_price_card.json:199-203</t>
  </si>
  <si>
    <t xml:space="preserve">Mistral-medium-3.5 input (EUR)</t>
  </si>
  <si>
    <t xml:space="preserve">EUR/Mtok</t>
  </si>
  <si>
    <t xml:space="preserve">ai_price_card.json:131-135</t>
  </si>
  <si>
    <t xml:space="preserve">Mistral-medium-3.5 output (EUR)</t>
  </si>
  <si>
    <t xml:space="preserve">EUR-&gt;USD incl. 5% buffer</t>
  </si>
  <si>
    <t xml:space="preserve">x</t>
  </si>
  <si>
    <t xml:space="preserve">ai_price_card.json:35-40 (EUR_USD 1.1 x buffer_pct 5)</t>
  </si>
  <si>
    <t xml:space="preserve">CALL SHAPE</t>
  </si>
  <si>
    <t xml:space="preserve">Tokens per photo</t>
  </si>
  <si>
    <t xml:space="preserve">tok</t>
  </si>
  <si>
    <t xml:space="preserve">Anthropic (w x h)/750 rule at 1344px — AI_PHOTO_COST_MODEL.xlsx 'Per-photo model'</t>
  </si>
  <si>
    <t xml:space="preserve">QC spec + inspector system prompt</t>
  </si>
  <si>
    <t xml:space="preserve">ai_qc.py — numbered criteria + _CHECKER_SYSTEM</t>
  </si>
  <si>
    <t xml:space="preserve">QC verdict output</t>
  </si>
  <si>
    <t xml:space="preserve">JSON verdict; ai_qc.py caps the checker at max_tokens=400</t>
  </si>
  <si>
    <t xml:space="preserve">Retry rate — p(check fails, one redo)</t>
  </si>
  <si>
    <t xml:space="preserve">frac</t>
  </si>
  <si>
    <t xml:space="preserve">Prudent. AdvertAgent_AI_CostModel.xlsx r17 uses a 7% failure/retry token loading</t>
  </si>
  <si>
    <t xml:space="preserve">VOLUMES — Year 1</t>
  </si>
  <si>
    <t xml:space="preserve">MarketSquare_Cost_Breakdown_v2_AIcosts.xlsx '3-Year Summary' + 'AI Costs Rev B'</t>
  </si>
  <si>
    <t xml:space="preserve">Sellers Y1</t>
  </si>
  <si>
    <t xml:space="preserve">count</t>
  </si>
  <si>
    <t xml:space="preserve">3-Year Summary Y1</t>
  </si>
  <si>
    <t xml:space="preserve">Listings per seller</t>
  </si>
  <si>
    <t xml:space="preserve">AI Costs Rev B r6</t>
  </si>
  <si>
    <t xml:space="preserve">Photos per listing</t>
  </si>
  <si>
    <t xml:space="preserve">AI Costs Rev B r7 (24 cap x 70%)</t>
  </si>
  <si>
    <t xml:space="preserve">Agency-import share of listings</t>
  </si>
  <si>
    <t xml:space="preserve">ESTIMATE — no repo figure found. Change me.</t>
  </si>
  <si>
    <t xml:space="preserve">Graded cards Y1</t>
  </si>
  <si>
    <t xml:space="preserve">ESTIMATE — collectables subset. Change me.</t>
  </si>
  <si>
    <t xml:space="preserve">Inbound emails/day</t>
  </si>
  <si>
    <t xml:space="preserve">AS-03 moderation sample rate</t>
  </si>
  <si>
    <t xml:space="preserve">POLICY LEVER — fraction of ACCEPTED photos cross-checked. See 'Policy Options'</t>
  </si>
  <si>
    <t xml:space="preserve">P&amp;L — Year 1 baseline</t>
  </si>
  <si>
    <t xml:space="preserve">MarketSquare_Cost_Breakdown_v2_AIcosts.xlsx '3-Year Summary'</t>
  </si>
  <si>
    <t xml:space="preserve">Revenue Y1</t>
  </si>
  <si>
    <t xml:space="preserve">$</t>
  </si>
  <si>
    <t xml:space="preserve">3-Year Summary</t>
  </si>
  <si>
    <t xml:space="preserve">Total costs Y1 (pre-QC)</t>
  </si>
  <si>
    <t xml:space="preserve">of which AI API cost Y1</t>
  </si>
  <si>
    <t xml:space="preserve">1 Tuppence gross</t>
  </si>
  <si>
    <t xml:space="preserve">PRICING_CANON.md:52 — fixed</t>
  </si>
  <si>
    <t xml:space="preserve">Paystack effective rate, single-T top-up</t>
  </si>
  <si>
    <t xml:space="preserve">AI Costs Rev B r40 — R36 ticket; worst-margin transaction in the business</t>
  </si>
  <si>
    <t xml:space="preserve">Target COGS ceiling per AI function</t>
  </si>
  <si>
    <t xml:space="preserve">AdvertAgent/AI_FUNCTION_COST_CEILINGS.md:28,41</t>
  </si>
  <si>
    <t xml:space="preserve">LEGEND</t>
  </si>
  <si>
    <t xml:space="preserve">Yellow fill + blue text = an input you can change. Everything else is a formula.</t>
  </si>
  <si>
    <t xml:space="preserve">Green text on other sheets = a link back to this page.</t>
  </si>
  <si>
    <t xml:space="preserve">Two figures are ESTIMATES with no repo source (agency-import share, graded cards, inbound emails). They are marked and easy to flex.</t>
  </si>
  <si>
    <t xml:space="preserve">OPTIMISATION LANES &amp; LEVERS (added 14 Aug 2026)</t>
  </si>
  <si>
    <t xml:space="preserve">Vision pricing web-checked 14 Aug 2026 (benchlm.ai registry) + AI_PHOTO_COST_MODEL.xlsx 'Pricing (Jul 2026)' web-verified 16 Jul</t>
  </si>
  <si>
    <t xml:space="preserve">Gemini 2.5 Flash-Lite input</t>
  </si>
  <si>
    <t xml:space="preserve">benchlm.ai 14 Aug 2026; also in AI_PHOTO_COST_MODEL.xlsx. VISION — must pass failover/eval_golden_set.py before production</t>
  </si>
  <si>
    <t xml:space="preserve">Gemini 2.5 Flash-Lite output</t>
  </si>
  <si>
    <t xml:space="preserve">as above; cache-hit rate $0.01/Mtok published</t>
  </si>
  <si>
    <t xml:space="preserve">Gemini 3 Flash input</t>
  </si>
  <si>
    <t xml:space="preserve">AI_PHOTO_COST_MODEL.xlsx — repo already measured $0.001414/photo vs Sonnet $0.01389</t>
  </si>
  <si>
    <t xml:space="preserve">Gemini 3 Flash output</t>
  </si>
  <si>
    <t xml:space="preserve">as above</t>
  </si>
  <si>
    <t xml:space="preserve">GPT-5 nano input</t>
  </si>
  <si>
    <t xml:space="preserve">benchlm.ai 14 Aug 2026. Vision UNVERIFIED on that source — confirm with vendor before use</t>
  </si>
  <si>
    <t xml:space="preserve">GPT-5 nano output</t>
  </si>
  <si>
    <t xml:space="preserve">Image tokens @1344x1008 (today)</t>
  </si>
  <si>
    <t xml:space="preserve">Anthropic (w*h)/750</t>
  </si>
  <si>
    <t xml:space="preserve">Image tokens @1024x768</t>
  </si>
  <si>
    <t xml:space="preserve">(w*h)/750 — enough for document text</t>
  </si>
  <si>
    <t xml:space="preserve">Image tokens @768x576</t>
  </si>
  <si>
    <t xml:space="preserve">(w*h)/750 — enough for moderation and redaction checking</t>
  </si>
  <si>
    <t xml:space="preserve">Image tokens @512x384</t>
  </si>
  <si>
    <t xml:space="preserve">(w*h)/750 — accept/reject only</t>
  </si>
  <si>
    <t xml:space="preserve">Batch API discount</t>
  </si>
  <si>
    <t xml:space="preserve">QC is asynchronous — nobody waits on a cross-check. AI_PHOTO_COST_MODEL.xlsx notes Batch API -50%</t>
  </si>
  <si>
    <t xml:space="preserve">Per-Item Cost — doer vs checker</t>
  </si>
  <si>
    <t xml:space="preserve">The checker is cheaper than the doer by design (ai_qc.py constraint 4). Where it is not, sampling is the answer.</t>
  </si>
  <si>
    <t xml:space="preserve">ID</t>
  </si>
  <si>
    <t xml:space="preserve">Surface</t>
  </si>
  <si>
    <t xml:space="preserve">Doer lane</t>
  </si>
  <si>
    <t xml:space="preserve">Doer in (tok)</t>
  </si>
  <si>
    <t xml:space="preserve">Doer out (tok)</t>
  </si>
  <si>
    <t xml:space="preserve">Doer $/item</t>
  </si>
  <si>
    <t xml:space="preserve">Checker sees</t>
  </si>
  <si>
    <t xml:space="preserve">Checker in (tok)</t>
  </si>
  <si>
    <t xml:space="preserve">Chk $ Luna</t>
  </si>
  <si>
    <t xml:space="preserve">Chk $ Haiku</t>
  </si>
  <si>
    <t xml:space="preserve">Chk $ Mistral</t>
  </si>
  <si>
    <t xml:space="preserve">Checker as % of doer (Luna)</t>
  </si>
  <si>
    <t xml:space="preserve">AS-01</t>
  </si>
  <si>
    <t xml:space="preserve">KYC identity</t>
  </si>
  <si>
    <t xml:space="preserve">Sonnet</t>
  </si>
  <si>
    <t xml:space="preserve">the image</t>
  </si>
  <si>
    <t xml:space="preserve">AS-02</t>
  </si>
  <si>
    <t xml:space="preserve">Anonymisation</t>
  </si>
  <si>
    <t xml:space="preserve">AS-03</t>
  </si>
  <si>
    <t xml:space="preserve">Photo moderation</t>
  </si>
  <si>
    <t xml:space="preserve">Haiku</t>
  </si>
  <si>
    <t xml:space="preserve">AS-05</t>
  </si>
  <si>
    <t xml:space="preserve">Card grading</t>
  </si>
  <si>
    <t xml:space="preserve">AS-09</t>
  </si>
  <si>
    <t xml:space="preserve">Listing draft</t>
  </si>
  <si>
    <t xml:space="preserve">text only</t>
  </si>
  <si>
    <t xml:space="preserve">AS-08</t>
  </si>
  <si>
    <t xml:space="preserve">Email triage</t>
  </si>
  <si>
    <t xml:space="preserve">Cross-vendor is not only more independent, it is CHEAPER: Luna at $0.20/$1.20 is 5x under Haiku.</t>
  </si>
  <si>
    <t xml:space="preserve">AS-03 is the exception — its doer emits 8 tokens, so a checker that must re-view the image costs MORE than the doer. That surface gets sampled, not skipped.</t>
  </si>
  <si>
    <t xml:space="preserve">'text only' means the checker inspects the text artefact and never re-reads the images — the cheap case, and it covers the listing-draft criteria in full.</t>
  </si>
  <si>
    <t xml:space="preserve">Annual Impact — Year 1</t>
  </si>
  <si>
    <t xml:space="preserve">Volumes drive off Assumptions. QC adder is compared against the Y1 AI API line and the 95.27% operating margin.</t>
  </si>
  <si>
    <t xml:space="preserve">Volume Y1</t>
  </si>
  <si>
    <t xml:space="preserve">Volume basis</t>
  </si>
  <si>
    <t xml:space="preserve">Doer $/yr</t>
  </si>
  <si>
    <t xml:space="preserve">QC $/yr (Luna)</t>
  </si>
  <si>
    <t xml:space="preserve">QC $/yr (Haiku)</t>
  </si>
  <si>
    <t xml:space="preserve">Retry $/yr</t>
  </si>
  <si>
    <t xml:space="preserve">QC as % of doer</t>
  </si>
  <si>
    <t xml:space="preserve">one verification per seller</t>
  </si>
  <si>
    <t xml:space="preserve">agency-import photos through the anonymity gate</t>
  </si>
  <si>
    <t xml:space="preserve">every photo uploaded</t>
  </si>
  <si>
    <t xml:space="preserve">graded collectables</t>
  </si>
  <si>
    <t xml:space="preserve">one draft per listing</t>
  </si>
  <si>
    <t xml:space="preserve">inbound mail</t>
  </si>
  <si>
    <t xml:space="preserve">TOTAL</t>
  </si>
  <si>
    <t xml:space="preserve">P&amp;L EFFECT</t>
  </si>
  <si>
    <t xml:space="preserve">Scenario</t>
  </si>
  <si>
    <t xml:space="preserve">QC adder $/yr</t>
  </si>
  <si>
    <t xml:space="preserve">Total costs $/yr</t>
  </si>
  <si>
    <t xml:space="preserve">Net income $/yr</t>
  </si>
  <si>
    <t xml:space="preserve">Operating margin</t>
  </si>
  <si>
    <t xml:space="preserve">Change vs baseline</t>
  </si>
  <si>
    <t xml:space="preserve">Baseline — no QC</t>
  </si>
  <si>
    <t xml:space="preserve">QC, cross-vendor Luna checker</t>
  </si>
  <si>
    <t xml:space="preserve">QC, same-lane Haiku checker</t>
  </si>
  <si>
    <t xml:space="preserve">QC adder as a % of the Y1 AI API line</t>
  </si>
  <si>
    <t xml:space="preserve">QC adder as a % of Y1 revenue</t>
  </si>
  <si>
    <t xml:space="preserve">Every QC candidate sits on a FREE surface — none of these six charges Tuppence. So QC adds unbilled COGS; it does not reduce revenue.</t>
  </si>
  <si>
    <t xml:space="preserve">That is the honest shape of it: the cost lands entirely on the cost side, and it is still immaterial at the P&amp;L level.</t>
  </si>
  <si>
    <t xml:space="preserve">Policy Options — AS-03 is the only real decision</t>
  </si>
  <si>
    <t xml:space="preserve">Every other surface is cheap enough to QC at 100%. Photo moderation is the one that needs a sampling call.</t>
  </si>
  <si>
    <t xml:space="preserve">AS-03 sample rate</t>
  </si>
  <si>
    <t xml:space="preserve">What it buys</t>
  </si>
  <si>
    <t xml:space="preserve">Every accepted photo cross-checked. Maximum assurance, and still under $100/yr on Luna.</t>
  </si>
  <si>
    <t xml:space="preserve">Strong detection of a systematic blind spot within days.</t>
  </si>
  <si>
    <t xml:space="preserve">RECOMMENDED. Detects a systematic failure quickly; will miss a rare one-off, which the appeal route catches.</t>
  </si>
  <si>
    <t xml:space="preserve">Thin. Only justified if the moderation lane has a long clean record.</t>
  </si>
  <si>
    <t xml:space="preserve">No QC. The false ACCEPT stays invisible — nobody appeals an accept.</t>
  </si>
  <si>
    <t xml:space="preserve">RECOMMENDED POLICY</t>
  </si>
  <si>
    <t xml:space="preserve">1. QC at 100% on every RED and AMBER surface whose checker inspects TEXT — the cost is rounding error.</t>
  </si>
  <si>
    <t xml:space="preserve">2. QC at 100% on RED surfaces whose checker must re-view an image, EXCEPT AS-03.</t>
  </si>
  <si>
    <t xml:space="preserve">3. AS-03 photo moderation: sample the ACCEPTS at 10%. Rejects self-correct via appeal; accepts are silent.</t>
  </si>
  <si>
    <t xml:space="preserve">4. No QC on GREEN surfaces (search interpretation, market note). Nothing there is worth a second call.</t>
  </si>
  <si>
    <t xml:space="preserve">5. Checker runs on the cheapest configured NON-primary lane. Independence and cost point the same way.</t>
  </si>
  <si>
    <t xml:space="preserve">6. Cap QC spend as its own line so it can never crowd out doer spend under the $100/day platform ceiling.</t>
  </si>
  <si>
    <t xml:space="preserve">Optimised — right model, right resolution, batched QC</t>
  </si>
  <si>
    <t xml:space="preserve">The checker moves to the cheap lane NOW (a constrained task against explicit criteria is easier than generating). The DOER moves only after failover/eval_golden_set.py passes — quality is a gate, not a weight.</t>
  </si>
  <si>
    <t xml:space="preserve">Doer today $/yr</t>
  </si>
  <si>
    <t xml:space="preserve">Doer optimised $/yr</t>
  </si>
  <si>
    <t xml:space="preserve">QC today $/yr</t>
  </si>
  <si>
    <t xml:space="preserve">QC optimised $/yr (batched)</t>
  </si>
  <si>
    <t xml:space="preserve">TOTAL today</t>
  </si>
  <si>
    <t xml:space="preserve">TOTAL optimised</t>
  </si>
  <si>
    <t xml:space="preserve">Saving</t>
  </si>
  <si>
    <t xml:space="preserve">AS-03 Photo moderation</t>
  </si>
  <si>
    <t xml:space="preserve">AS-01 KYC identity</t>
  </si>
  <si>
    <t xml:space="preserve">AS-02 Anonymisation</t>
  </si>
  <si>
    <t xml:space="preserve">AS-05 Card grading</t>
  </si>
  <si>
    <t xml:space="preserve">AS-09 Listing draft</t>
  </si>
  <si>
    <t xml:space="preserve">AS-08 Email triage</t>
  </si>
  <si>
    <t xml:space="preserve">Optimised total vs the Y1 AI API budget line</t>
  </si>
  <si>
    <t xml:space="preserve">— with 100% QC coverage on every surface, not a sample</t>
  </si>
  <si>
    <t xml:space="preserve">THE FOUR LEVERS, IN ORDER OF SIZE</t>
  </si>
  <si>
    <t xml:space="preserve">1. RESOLUTION. Image tokens are (w x h)/750 and dominate every vision call. 1344x1008 = 1,806 tok; 768x576 = 590. A 3.1x cut, free, and 768px is ample to judge an accept/reject or spot a leaked phone number.</t>
  </si>
  <si>
    <t xml:space="preserve">   ENGINEERING NOTE: for anonymisation, DETECT at low resolution then apply the redaction regions to the FULL-RES image. Never redact at low res.</t>
  </si>
  <si>
    <t xml:space="preserve">2. MODEL. Gemini 2.5 Flash-Lite $0.10/$0.40 is 10x under Haiku; GPT-5 nano $0.05/$0.40 is 20x under. A checker judging against written criteria is a far easier task than generating.</t>
  </si>
  <si>
    <t xml:space="preserve">3. BATCH. QC is asynchronous by nature — nobody waits on a cross-check. Batch APIs are -50%. This is the ideal batch workload and it was left on the table.</t>
  </si>
  <si>
    <t xml:space="preserve">4. CACHING. The QC spec and system prompt are byte-identical on every call. Flash-Lite publishes a cache-hit rate of $0.01/Mtok against $0.10 input — 10x off the constant part.</t>
  </si>
  <si>
    <t xml:space="preserve">GATE: the cheap lanes are candidates, not decisions. failover/eval_golden_set.py must pass before ANY doer moves — quality is a gate, not a weight. The CHECKER can move first: it is a constrained task, and a checker that is wrong fails closed.</t>
  </si>
  <si>
    <t xml:space="preserve">DOCTRINE: add the cheap lane as an adapter BEHIND the seam, never as a new load-bearing dependency (supplier-fallback doctrine, CLAUDE.md 1 Aug 2026).</t>
  </si>
  <si>
    <t xml:space="preserve">COGS Ceiling Test — the paid features</t>
  </si>
  <si>
    <t xml:space="preserve">Does adding a checker break the &lt;=10% COGS rule on anything charged in Tuppence? Source: AI_FUNCTION_COST_CEILINGS.md:28,41</t>
  </si>
  <si>
    <t xml:space="preserve">Feature</t>
  </si>
  <si>
    <t xml:space="preserve">Charged</t>
  </si>
  <si>
    <t xml:space="preserve">Doer $</t>
  </si>
  <si>
    <t xml:space="preserve">QC $ (Luna)</t>
  </si>
  <si>
    <t xml:space="preserve">Total COGS $</t>
  </si>
  <si>
    <t xml:space="preserve">Gross rev $</t>
  </si>
  <si>
    <t xml:space="preserve">Net rev after Paystack $</t>
  </si>
  <si>
    <t xml:space="preserve">COGS %</t>
  </si>
  <si>
    <t xml:space="preserve">Ceiling</t>
  </si>
  <si>
    <t xml:space="preserve">Verdict</t>
  </si>
  <si>
    <t xml:space="preserve">aa_coach</t>
  </si>
  <si>
    <t xml:space="preserve">1T</t>
  </si>
  <si>
    <t xml:space="preserve">ai_listing_rewrite</t>
  </si>
  <si>
    <t xml:space="preserve">ai_seller_audit</t>
  </si>
  <si>
    <t xml:space="preserve">ai_price_check</t>
  </si>
  <si>
    <t xml:space="preserve">ai_yield_calc</t>
  </si>
  <si>
    <t xml:space="preserve">ai_batch_card_listings</t>
  </si>
  <si>
    <t xml:space="preserve">2T</t>
  </si>
  <si>
    <t xml:space="preserve">Paystack is applied at the single-T rate (5.678%) — the worst case. Larger packs are cheaper and improve every row.</t>
  </si>
  <si>
    <t xml:space="preserve">Headroom is roughly two orders of magnitude. QC could get 10x more expensive and still clear the ceiling.</t>
  </si>
  <si>
    <t xml:space="preserve">Break-even — how many prevented defects pay for the QC</t>
  </si>
  <si>
    <t xml:space="preserve">A prevented anonymity leak is a preserved introduction fee. That is the cleanest measurable saving in the model.</t>
  </si>
  <si>
    <t xml:space="preserve">QC $/yr</t>
  </si>
  <si>
    <t xml:space="preserve">Value of one prevented defect</t>
  </si>
  <si>
    <t xml:space="preserve">Basis</t>
  </si>
  <si>
    <t xml:space="preserve">Defects/yr to break even</t>
  </si>
  <si>
    <t xml:space="preserve">As % of items</t>
  </si>
  <si>
    <t xml:space="preserve">One leaked contact = one bypassed introduction = 1T of revenue, permanently</t>
  </si>
  <si>
    <t xml:space="preserve">CONSERVATIVE placeholder — a fraudulent verified seller is worth far more than 1T of damage</t>
  </si>
  <si>
    <t xml:space="preserve">CONSERVATIVE — a misdescription that reaches a buyer is a consumer-law matter, not a lost intro</t>
  </si>
  <si>
    <t xml:space="preserve">Every value here is deliberately conservative — each prevented defect is valued at a single lost introduction fee.</t>
  </si>
  <si>
    <t xml:space="preserve">The real cost of an anonymity breach is the agency relationship (R3), and of a KYC false accept the trust promise (R1). Neither is in these numbers.</t>
  </si>
  <si>
    <t xml:space="preserve">Read the break-even column as an upper bound on what QC must achieve to be worth it.</t>
  </si>
  <si>
    <t xml:space="preserve">Budget Findings — three things that need fixing regardless</t>
  </si>
  <si>
    <t xml:space="preserve">Found while building this model. Each is a live budget-control issue, and QC makes each one bigger.</t>
  </si>
  <si>
    <t xml:space="preserve">#</t>
  </si>
  <si>
    <t xml:space="preserve">Finding</t>
  </si>
  <si>
    <t xml:space="preserve">Where</t>
  </si>
  <si>
    <t xml:space="preserve">Impact</t>
  </si>
  <si>
    <t xml:space="preserve">Action</t>
  </si>
  <si>
    <t xml:space="preserve">Haiku is priced at $0.80/$4.00 in the live cost accounting, but the authoritative price card says $1.00/$5.00</t>
  </si>
  <si>
    <t xml:space="preserve">bea_main.py:1440 vs ai_price_card.json:44-48</t>
  </si>
  <si>
    <t xml:space="preserve">Every Haiku cost written to ai_spend_log is ~20-25% LOW. The $100/day ceiling and the $0.50/user rail are both computed off it, so both are looser than intended.</t>
  </si>
  <si>
    <t xml:space="preserve">Correct _MODEL_PRICE to (1.00, 5.00). One-line change; add a ledger entry asserting the code table matches the price card.</t>
  </si>
  <si>
    <t xml:space="preserve">The pre-dispatch hold is $0.06 and does not cover a QC'd call</t>
  </si>
  <si>
    <t xml:space="preserve">_AI_WORST_CASE_HOLD_USD, bea_main.py:1759</t>
  </si>
  <si>
    <t xml:space="preserve">A vision doer with 10 images plus a checker plus one retry is roughly $0.175 — nearly 3x the hold. RG-0037 guarantees concurrency cannot overshoot the ceiling; with QC wired in and the hold unchanged, that guarantee quietly stops holding.</t>
  </si>
  <si>
    <t xml:space="preserve">Raise the hold, or better: make it a function of the declared call shape (images x per-image tokens + checker + retry) rather than one flat constant.</t>
  </si>
  <si>
    <t xml:space="preserve">AdvertAgent's documented input/search ceilings are not enforced in code</t>
  </si>
  <si>
    <t xml:space="preserve">AdvertAgent/service/advert_agent.py:785-791 — no max_in anywhere; live max_searches/max_tokens exceed the doc caps</t>
  </si>
  <si>
    <t xml:space="preserve">Worst-case cost per paid run is not bounded by construction, contrary to AI_FUNCTION_COST_CEILINGS.md. Pre-existing, but a QC stage multiplies whatever the true worst case is.</t>
  </si>
  <si>
    <t xml:space="preserve">Either enforce the documented caps or restate them to match reality. A ceiling nobody enforces is the same failure mode as a checker nobody checks.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</si>
</sst>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0"/>
    <numFmt numFmtId="166" formatCode="0.000%"/>
    <numFmt numFmtId="167" formatCode="\$#,##0.00;&quot;($&quot;#,##0.00\);\-"/>
    <numFmt numFmtId="168" formatCode="0.000"/>
    <numFmt numFmtId="169" formatCode="#,##0"/>
    <numFmt numFmtId="170" formatCode="0.0%"/>
    <numFmt numFmtId="171" formatCode="\$#,##0.00000;&quot;($&quot;#,##0.00000\);\-"/>
    <numFmt numFmtId="172" formatCode="\$#,##0;&quot;($&quot;#,##0\);\-"/>
    <numFmt numFmtId="173" formatCode="\+0.000%;\-0.000%;\-"/>
    <numFmt numFmtId="174" formatCode="0.0000%"/>
    <numFmt numFmtId="175" formatCode="\$#,##0.00;&quot;($&quot;#,##0.00\);\-"/>
    <numFmt numFmtId="176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A"/>
        <bgColor rgb="FFE7F2E3"/>
      </patternFill>
    </fill>
    <fill>
      <patternFill patternType="solid">
        <fgColor rgb="FFFFFF00"/>
        <bgColor rgb="FFFFFF00"/>
      </patternFill>
    </fill>
    <fill>
      <patternFill patternType="solid">
        <fgColor rgb="FFE7F2E3"/>
        <bgColor rgb="FFEAF0FA"/>
      </patternFill>
    </fill>
    <fill>
      <patternFill patternType="solid">
        <fgColor rgb="FFFFF4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A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7F2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8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</row>
    <row r="6" customFormat="false" ht="15" hidden="false" customHeight="true" outlineLevel="0" collapsed="false">
      <c r="A6" s="5" t="s">
        <v>6</v>
      </c>
      <c r="B6" s="6"/>
      <c r="C6" s="6"/>
      <c r="D6" s="7" t="s">
        <v>7</v>
      </c>
    </row>
    <row r="7" customFormat="false" ht="15" hidden="false" customHeight="true" outlineLevel="0" collapsed="false">
      <c r="A7" s="8" t="s">
        <v>8</v>
      </c>
      <c r="B7" s="9" t="n">
        <v>1</v>
      </c>
      <c r="C7" s="8" t="s">
        <v>9</v>
      </c>
      <c r="D7" s="10" t="s">
        <v>10</v>
      </c>
    </row>
    <row r="8" customFormat="false" ht="15" hidden="false" customHeight="true" outlineLevel="0" collapsed="false">
      <c r="A8" s="8" t="s">
        <v>11</v>
      </c>
      <c r="B8" s="9" t="n">
        <v>5</v>
      </c>
      <c r="C8" s="8" t="s">
        <v>9</v>
      </c>
      <c r="D8" s="10" t="s">
        <v>10</v>
      </c>
    </row>
    <row r="9" customFormat="false" ht="15" hidden="false" customHeight="true" outlineLevel="0" collapsed="false">
      <c r="A9" s="8" t="s">
        <v>12</v>
      </c>
      <c r="B9" s="9" t="n">
        <v>3</v>
      </c>
      <c r="C9" s="8" t="s">
        <v>9</v>
      </c>
      <c r="D9" s="10" t="s">
        <v>13</v>
      </c>
    </row>
    <row r="10" customFormat="false" ht="15" hidden="false" customHeight="true" outlineLevel="0" collapsed="false">
      <c r="A10" s="8" t="s">
        <v>14</v>
      </c>
      <c r="B10" s="9" t="n">
        <v>15</v>
      </c>
      <c r="C10" s="8" t="s">
        <v>9</v>
      </c>
      <c r="D10" s="10" t="s">
        <v>13</v>
      </c>
    </row>
    <row r="11" customFormat="false" ht="15" hidden="false" customHeight="true" outlineLevel="0" collapsed="false">
      <c r="A11" s="8" t="s">
        <v>15</v>
      </c>
      <c r="B11" s="9" t="n">
        <v>0.2</v>
      </c>
      <c r="C11" s="8" t="s">
        <v>9</v>
      </c>
      <c r="D11" s="10" t="s">
        <v>16</v>
      </c>
    </row>
    <row r="12" customFormat="false" ht="15" hidden="false" customHeight="true" outlineLevel="0" collapsed="false">
      <c r="A12" s="8" t="s">
        <v>17</v>
      </c>
      <c r="B12" s="9" t="n">
        <v>1.2</v>
      </c>
      <c r="C12" s="8" t="s">
        <v>9</v>
      </c>
      <c r="D12" s="10" t="s">
        <v>18</v>
      </c>
    </row>
    <row r="13" customFormat="false" ht="15" hidden="false" customHeight="true" outlineLevel="0" collapsed="false">
      <c r="A13" s="8" t="s">
        <v>19</v>
      </c>
      <c r="B13" s="9" t="n">
        <v>1.5</v>
      </c>
      <c r="C13" s="8" t="s">
        <v>20</v>
      </c>
      <c r="D13" s="10" t="s">
        <v>21</v>
      </c>
    </row>
    <row r="14" customFormat="false" ht="15" hidden="false" customHeight="true" outlineLevel="0" collapsed="false">
      <c r="A14" s="8" t="s">
        <v>22</v>
      </c>
      <c r="B14" s="9" t="n">
        <v>7.5</v>
      </c>
      <c r="C14" s="8" t="s">
        <v>20</v>
      </c>
      <c r="D14" s="10" t="s">
        <v>21</v>
      </c>
    </row>
    <row r="15" customFormat="false" ht="15" hidden="false" customHeight="true" outlineLevel="0" collapsed="false">
      <c r="A15" s="8" t="s">
        <v>23</v>
      </c>
      <c r="B15" s="9" t="n">
        <v>1.155</v>
      </c>
      <c r="C15" s="8" t="s">
        <v>24</v>
      </c>
      <c r="D15" s="10" t="s">
        <v>25</v>
      </c>
    </row>
    <row r="16" customFormat="false" ht="15" hidden="false" customHeight="true" outlineLevel="0" collapsed="false">
      <c r="A16" s="5" t="s">
        <v>26</v>
      </c>
      <c r="B16" s="6"/>
      <c r="C16" s="6"/>
      <c r="D16" s="6"/>
    </row>
    <row r="17" customFormat="false" ht="15" hidden="false" customHeight="true" outlineLevel="0" collapsed="false">
      <c r="A17" s="8" t="s">
        <v>27</v>
      </c>
      <c r="B17" s="9" t="n">
        <v>1806</v>
      </c>
      <c r="C17" s="8" t="s">
        <v>28</v>
      </c>
      <c r="D17" s="10" t="s">
        <v>29</v>
      </c>
    </row>
    <row r="18" customFormat="false" ht="15" hidden="false" customHeight="true" outlineLevel="0" collapsed="false">
      <c r="A18" s="8" t="s">
        <v>30</v>
      </c>
      <c r="B18" s="9" t="n">
        <v>200</v>
      </c>
      <c r="C18" s="8" t="s">
        <v>28</v>
      </c>
      <c r="D18" s="10" t="s">
        <v>31</v>
      </c>
    </row>
    <row r="19" customFormat="false" ht="15" hidden="false" customHeight="true" outlineLevel="0" collapsed="false">
      <c r="A19" s="8" t="s">
        <v>32</v>
      </c>
      <c r="B19" s="9" t="n">
        <v>60</v>
      </c>
      <c r="C19" s="8" t="s">
        <v>28</v>
      </c>
      <c r="D19" s="10" t="s">
        <v>33</v>
      </c>
    </row>
    <row r="20" customFormat="false" ht="15" hidden="false" customHeight="true" outlineLevel="0" collapsed="false">
      <c r="A20" s="8" t="s">
        <v>34</v>
      </c>
      <c r="B20" s="11" t="n">
        <v>0.1</v>
      </c>
      <c r="C20" s="8" t="s">
        <v>35</v>
      </c>
      <c r="D20" s="10" t="s">
        <v>36</v>
      </c>
    </row>
    <row r="21" customFormat="false" ht="15" hidden="false" customHeight="true" outlineLevel="0" collapsed="false">
      <c r="A21" s="5" t="s">
        <v>37</v>
      </c>
      <c r="B21" s="6"/>
      <c r="C21" s="6"/>
      <c r="D21" s="7" t="s">
        <v>38</v>
      </c>
    </row>
    <row r="22" customFormat="false" ht="15" hidden="false" customHeight="true" outlineLevel="0" collapsed="false">
      <c r="A22" s="8" t="s">
        <v>39</v>
      </c>
      <c r="B22" s="9" t="n">
        <v>7790</v>
      </c>
      <c r="C22" s="8" t="s">
        <v>40</v>
      </c>
      <c r="D22" s="10" t="s">
        <v>41</v>
      </c>
    </row>
    <row r="23" customFormat="false" ht="15" hidden="false" customHeight="true" outlineLevel="0" collapsed="false">
      <c r="A23" s="8" t="s">
        <v>42</v>
      </c>
      <c r="B23" s="9" t="n">
        <v>1.5</v>
      </c>
      <c r="C23" s="8" t="s">
        <v>24</v>
      </c>
      <c r="D23" s="10" t="s">
        <v>43</v>
      </c>
    </row>
    <row r="24" customFormat="false" ht="15" hidden="false" customHeight="true" outlineLevel="0" collapsed="false">
      <c r="A24" s="8" t="s">
        <v>44</v>
      </c>
      <c r="B24" s="9" t="n">
        <v>16.8</v>
      </c>
      <c r="C24" s="8" t="s">
        <v>40</v>
      </c>
      <c r="D24" s="10" t="s">
        <v>45</v>
      </c>
    </row>
    <row r="25" customFormat="false" ht="15" hidden="false" customHeight="true" outlineLevel="0" collapsed="false">
      <c r="A25" s="8" t="s">
        <v>46</v>
      </c>
      <c r="B25" s="11" t="n">
        <v>0.1</v>
      </c>
      <c r="C25" s="8" t="s">
        <v>35</v>
      </c>
      <c r="D25" s="10" t="s">
        <v>47</v>
      </c>
    </row>
    <row r="26" customFormat="false" ht="15" hidden="false" customHeight="true" outlineLevel="0" collapsed="false">
      <c r="A26" s="8" t="s">
        <v>48</v>
      </c>
      <c r="B26" s="9" t="n">
        <v>5000</v>
      </c>
      <c r="C26" s="8" t="s">
        <v>40</v>
      </c>
      <c r="D26" s="10" t="s">
        <v>49</v>
      </c>
    </row>
    <row r="27" customFormat="false" ht="15" hidden="false" customHeight="true" outlineLevel="0" collapsed="false">
      <c r="A27" s="8" t="s">
        <v>50</v>
      </c>
      <c r="B27" s="9" t="n">
        <v>20</v>
      </c>
      <c r="C27" s="8" t="s">
        <v>40</v>
      </c>
      <c r="D27" s="10" t="s">
        <v>47</v>
      </c>
    </row>
    <row r="28" customFormat="false" ht="15" hidden="false" customHeight="true" outlineLevel="0" collapsed="false">
      <c r="A28" s="8" t="s">
        <v>51</v>
      </c>
      <c r="B28" s="11" t="n">
        <v>0.1</v>
      </c>
      <c r="C28" s="8" t="s">
        <v>35</v>
      </c>
      <c r="D28" s="10" t="s">
        <v>52</v>
      </c>
    </row>
    <row r="29" customFormat="false" ht="15" hidden="false" customHeight="true" outlineLevel="0" collapsed="false">
      <c r="A29" s="5" t="s">
        <v>53</v>
      </c>
      <c r="B29" s="6"/>
      <c r="C29" s="6"/>
      <c r="D29" s="7" t="s">
        <v>54</v>
      </c>
    </row>
    <row r="30" customFormat="false" ht="15" hidden="false" customHeight="true" outlineLevel="0" collapsed="false">
      <c r="A30" s="8" t="s">
        <v>55</v>
      </c>
      <c r="B30" s="12" t="n">
        <v>235154</v>
      </c>
      <c r="C30" s="8" t="s">
        <v>56</v>
      </c>
      <c r="D30" s="10" t="s">
        <v>57</v>
      </c>
    </row>
    <row r="31" customFormat="false" ht="15" hidden="false" customHeight="true" outlineLevel="0" collapsed="false">
      <c r="A31" s="8" t="s">
        <v>58</v>
      </c>
      <c r="B31" s="12" t="n">
        <v>11131.37</v>
      </c>
      <c r="C31" s="8" t="s">
        <v>56</v>
      </c>
      <c r="D31" s="10" t="s">
        <v>57</v>
      </c>
    </row>
    <row r="32" customFormat="false" ht="15" hidden="false" customHeight="true" outlineLevel="0" collapsed="false">
      <c r="A32" s="8" t="s">
        <v>59</v>
      </c>
      <c r="B32" s="12" t="n">
        <v>627</v>
      </c>
      <c r="C32" s="8" t="s">
        <v>56</v>
      </c>
      <c r="D32" s="10" t="s">
        <v>57</v>
      </c>
    </row>
    <row r="33" customFormat="false" ht="15" hidden="false" customHeight="true" outlineLevel="0" collapsed="false">
      <c r="A33" s="8" t="s">
        <v>60</v>
      </c>
      <c r="B33" s="12" t="n">
        <v>2</v>
      </c>
      <c r="C33" s="8" t="s">
        <v>56</v>
      </c>
      <c r="D33" s="10" t="s">
        <v>61</v>
      </c>
    </row>
    <row r="34" customFormat="false" ht="15" hidden="false" customHeight="true" outlineLevel="0" collapsed="false">
      <c r="A34" s="8" t="s">
        <v>62</v>
      </c>
      <c r="B34" s="11" t="n">
        <v>0.05678</v>
      </c>
      <c r="C34" s="8" t="s">
        <v>35</v>
      </c>
      <c r="D34" s="10" t="s">
        <v>63</v>
      </c>
    </row>
    <row r="35" customFormat="false" ht="15" hidden="false" customHeight="true" outlineLevel="0" collapsed="false">
      <c r="A35" s="8" t="s">
        <v>64</v>
      </c>
      <c r="B35" s="11" t="n">
        <v>0.1</v>
      </c>
      <c r="C35" s="8" t="s">
        <v>35</v>
      </c>
      <c r="D35" s="10" t="s">
        <v>65</v>
      </c>
    </row>
    <row r="37" customFormat="false" ht="15" hidden="false" customHeight="true" outlineLevel="0" collapsed="false">
      <c r="A37" s="13" t="s">
        <v>66</v>
      </c>
    </row>
    <row r="38" customFormat="false" ht="15" hidden="false" customHeight="true" outlineLevel="0" collapsed="false">
      <c r="A38" s="3" t="s">
        <v>67</v>
      </c>
    </row>
    <row r="39" customFormat="false" ht="15" hidden="false" customHeight="true" outlineLevel="0" collapsed="false">
      <c r="A39" s="3" t="s">
        <v>68</v>
      </c>
    </row>
    <row r="40" customFormat="false" ht="15" hidden="false" customHeight="true" outlineLevel="0" collapsed="false">
      <c r="A40" s="3" t="s">
        <v>69</v>
      </c>
    </row>
    <row r="42" customFormat="false" ht="15" hidden="false" customHeight="false" outlineLevel="0" collapsed="false">
      <c r="A42" s="14" t="s">
        <v>70</v>
      </c>
      <c r="B42" s="15"/>
      <c r="C42" s="15"/>
      <c r="D42" s="16" t="s">
        <v>71</v>
      </c>
    </row>
    <row r="43" customFormat="false" ht="15" hidden="false" customHeight="false" outlineLevel="0" collapsed="false">
      <c r="A43" s="17" t="s">
        <v>72</v>
      </c>
      <c r="B43" s="18" t="n">
        <v>0.1</v>
      </c>
      <c r="C43" s="17" t="s">
        <v>9</v>
      </c>
      <c r="D43" s="19" t="s">
        <v>73</v>
      </c>
    </row>
    <row r="44" customFormat="false" ht="15" hidden="false" customHeight="false" outlineLevel="0" collapsed="false">
      <c r="A44" s="17" t="s">
        <v>74</v>
      </c>
      <c r="B44" s="18" t="n">
        <v>0.4</v>
      </c>
      <c r="C44" s="17" t="s">
        <v>9</v>
      </c>
      <c r="D44" s="19" t="s">
        <v>75</v>
      </c>
    </row>
    <row r="45" customFormat="false" ht="15" hidden="false" customHeight="false" outlineLevel="0" collapsed="false">
      <c r="A45" s="17" t="s">
        <v>76</v>
      </c>
      <c r="B45" s="18" t="n">
        <v>0.5</v>
      </c>
      <c r="C45" s="17" t="s">
        <v>9</v>
      </c>
      <c r="D45" s="19" t="s">
        <v>77</v>
      </c>
    </row>
    <row r="46" customFormat="false" ht="15" hidden="false" customHeight="false" outlineLevel="0" collapsed="false">
      <c r="A46" s="17" t="s">
        <v>78</v>
      </c>
      <c r="B46" s="18" t="n">
        <v>3</v>
      </c>
      <c r="C46" s="17" t="s">
        <v>9</v>
      </c>
      <c r="D46" s="19" t="s">
        <v>79</v>
      </c>
    </row>
    <row r="47" customFormat="false" ht="15" hidden="false" customHeight="false" outlineLevel="0" collapsed="false">
      <c r="A47" s="17" t="s">
        <v>80</v>
      </c>
      <c r="B47" s="18" t="n">
        <v>0.05</v>
      </c>
      <c r="C47" s="17" t="s">
        <v>9</v>
      </c>
      <c r="D47" s="19" t="s">
        <v>81</v>
      </c>
    </row>
    <row r="48" customFormat="false" ht="15" hidden="false" customHeight="false" outlineLevel="0" collapsed="false">
      <c r="A48" s="17" t="s">
        <v>82</v>
      </c>
      <c r="B48" s="18" t="n">
        <v>0.4</v>
      </c>
      <c r="C48" s="17" t="s">
        <v>9</v>
      </c>
      <c r="D48" s="19" t="s">
        <v>79</v>
      </c>
    </row>
    <row r="49" customFormat="false" ht="15" hidden="false" customHeight="false" outlineLevel="0" collapsed="false">
      <c r="A49" s="17" t="s">
        <v>83</v>
      </c>
      <c r="B49" s="20" t="n">
        <v>1806</v>
      </c>
      <c r="C49" s="17" t="s">
        <v>28</v>
      </c>
      <c r="D49" s="19" t="s">
        <v>84</v>
      </c>
    </row>
    <row r="50" customFormat="false" ht="15" hidden="false" customHeight="false" outlineLevel="0" collapsed="false">
      <c r="A50" s="17" t="s">
        <v>85</v>
      </c>
      <c r="B50" s="20" t="n">
        <v>1049</v>
      </c>
      <c r="C50" s="17" t="s">
        <v>28</v>
      </c>
      <c r="D50" s="19" t="s">
        <v>86</v>
      </c>
    </row>
    <row r="51" customFormat="false" ht="15" hidden="false" customHeight="false" outlineLevel="0" collapsed="false">
      <c r="A51" s="17" t="s">
        <v>87</v>
      </c>
      <c r="B51" s="20" t="n">
        <v>590</v>
      </c>
      <c r="C51" s="17" t="s">
        <v>28</v>
      </c>
      <c r="D51" s="19" t="s">
        <v>88</v>
      </c>
    </row>
    <row r="52" customFormat="false" ht="15" hidden="false" customHeight="false" outlineLevel="0" collapsed="false">
      <c r="A52" s="17" t="s">
        <v>89</v>
      </c>
      <c r="B52" s="20" t="n">
        <v>262</v>
      </c>
      <c r="C52" s="17" t="s">
        <v>28</v>
      </c>
      <c r="D52" s="19" t="s">
        <v>90</v>
      </c>
    </row>
    <row r="53" customFormat="false" ht="15" hidden="false" customHeight="false" outlineLevel="0" collapsed="false">
      <c r="A53" s="17" t="s">
        <v>91</v>
      </c>
      <c r="B53" s="21" t="n">
        <v>0.5</v>
      </c>
      <c r="C53" s="17" t="s">
        <v>35</v>
      </c>
      <c r="D53" s="19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5" min="4" style="1" width="11"/>
    <col collapsed="false" customWidth="true" hidden="false" outlineLevel="0" max="8" min="6" style="1" width="12"/>
    <col collapsed="false" customWidth="true" hidden="false" outlineLevel="0" max="10" min="9" style="1" width="11"/>
    <col collapsed="false" customWidth="true" hidden="false" outlineLevel="0" max="11" min="11" style="1" width="12"/>
    <col collapsed="false" customWidth="true" hidden="false" outlineLevel="0" max="12" min="12" style="1" width="14"/>
  </cols>
  <sheetData>
    <row r="1" customFormat="false" ht="17.25" hidden="false" customHeight="true" outlineLevel="0" collapsed="false">
      <c r="A1" s="2" t="s">
        <v>93</v>
      </c>
    </row>
    <row r="2" customFormat="false" ht="15" hidden="false" customHeight="true" outlineLevel="0" collapsed="false">
      <c r="A2" s="3" t="s">
        <v>94</v>
      </c>
    </row>
    <row r="5" customFormat="false" ht="23.25" hidden="false" customHeight="true" outlineLevel="0" collapsed="false">
      <c r="A5" s="4" t="s">
        <v>95</v>
      </c>
      <c r="B5" s="4" t="s">
        <v>96</v>
      </c>
      <c r="C5" s="4" t="s">
        <v>97</v>
      </c>
      <c r="D5" s="4" t="s">
        <v>98</v>
      </c>
      <c r="E5" s="4" t="s">
        <v>99</v>
      </c>
      <c r="F5" s="4" t="s">
        <v>100</v>
      </c>
      <c r="G5" s="4" t="s">
        <v>101</v>
      </c>
      <c r="H5" s="4" t="s">
        <v>102</v>
      </c>
      <c r="I5" s="4" t="s">
        <v>103</v>
      </c>
      <c r="J5" s="4" t="s">
        <v>104</v>
      </c>
      <c r="K5" s="4" t="s">
        <v>105</v>
      </c>
      <c r="L5" s="4" t="s">
        <v>106</v>
      </c>
    </row>
    <row r="6" customFormat="false" ht="15" hidden="false" customHeight="true" outlineLevel="0" collapsed="false">
      <c r="A6" s="22" t="s">
        <v>107</v>
      </c>
      <c r="B6" s="8" t="s">
        <v>108</v>
      </c>
      <c r="C6" s="8" t="s">
        <v>109</v>
      </c>
      <c r="D6" s="23" t="n">
        <f aca="false">Assumptions!$B$17+300</f>
        <v>2106</v>
      </c>
      <c r="E6" s="24" t="n">
        <v>300</v>
      </c>
      <c r="F6" s="25" t="n">
        <f aca="false">D6/1000000*Assumptions!$B$9+E6/1000000*Assumptions!$B$10</f>
        <v>0.010818</v>
      </c>
      <c r="G6" s="8" t="s">
        <v>110</v>
      </c>
      <c r="H6" s="26" t="n">
        <f aca="false">Assumptions!$B$18+300+300+1*Assumptions!$B$17</f>
        <v>2606</v>
      </c>
      <c r="I6" s="25" t="n">
        <f aca="false">H6/1000000*Assumptions!$B$11+Assumptions!$B$19/1000000*Assumptions!$B$12</f>
        <v>0.0005932</v>
      </c>
      <c r="J6" s="25" t="n">
        <f aca="false">H6/1000000*Assumptions!$B$7+Assumptions!$B$19/1000000*Assumptions!$B$8</f>
        <v>0.002906</v>
      </c>
      <c r="K6" s="25" t="n">
        <f aca="false">(H6/1000000*Assumptions!$B$13+Assumptions!$B$19/1000000*Assumptions!$B$14)*Assumptions!$B$15</f>
        <v>0.005034645</v>
      </c>
      <c r="L6" s="27" t="n">
        <f aca="false">IFERROR(I6/F6,0)</f>
        <v>0.0548345350342023</v>
      </c>
    </row>
    <row r="7" customFormat="false" ht="15" hidden="false" customHeight="true" outlineLevel="0" collapsed="false">
      <c r="A7" s="22" t="s">
        <v>111</v>
      </c>
      <c r="B7" s="8" t="s">
        <v>112</v>
      </c>
      <c r="C7" s="8" t="s">
        <v>109</v>
      </c>
      <c r="D7" s="23" t="n">
        <f aca="false">Assumptions!$B$17+650</f>
        <v>2456</v>
      </c>
      <c r="E7" s="24" t="n">
        <v>1400</v>
      </c>
      <c r="F7" s="25" t="n">
        <f aca="false">D7/1000000*Assumptions!$B$9+E7/1000000*Assumptions!$B$10</f>
        <v>0.028368</v>
      </c>
      <c r="G7" s="8" t="s">
        <v>110</v>
      </c>
      <c r="H7" s="26" t="n">
        <f aca="false">Assumptions!$B$18+200+200+1*Assumptions!$B$17</f>
        <v>2406</v>
      </c>
      <c r="I7" s="25" t="n">
        <f aca="false">H7/1000000*Assumptions!$B$11+Assumptions!$B$19/1000000*Assumptions!$B$12</f>
        <v>0.0005532</v>
      </c>
      <c r="J7" s="25" t="n">
        <f aca="false">H7/1000000*Assumptions!$B$7+Assumptions!$B$19/1000000*Assumptions!$B$8</f>
        <v>0.002706</v>
      </c>
      <c r="K7" s="25" t="n">
        <f aca="false">(H7/1000000*Assumptions!$B$13+Assumptions!$B$19/1000000*Assumptions!$B$14)*Assumptions!$B$15</f>
        <v>0.004688145</v>
      </c>
      <c r="L7" s="27" t="n">
        <f aca="false">IFERROR(I7/F7,0)</f>
        <v>0.0195008460236887</v>
      </c>
    </row>
    <row r="8" customFormat="false" ht="15" hidden="false" customHeight="true" outlineLevel="0" collapsed="false">
      <c r="A8" s="22" t="s">
        <v>113</v>
      </c>
      <c r="B8" s="8" t="s">
        <v>114</v>
      </c>
      <c r="C8" s="8" t="s">
        <v>115</v>
      </c>
      <c r="D8" s="23" t="n">
        <f aca="false">Assumptions!$B$17+120</f>
        <v>1926</v>
      </c>
      <c r="E8" s="24" t="n">
        <v>8</v>
      </c>
      <c r="F8" s="25" t="n">
        <f aca="false">D8/1000000*Assumptions!$B$7+E8/1000000*Assumptions!$B$8</f>
        <v>0.001966</v>
      </c>
      <c r="G8" s="8" t="s">
        <v>110</v>
      </c>
      <c r="H8" s="26" t="n">
        <f aca="false">Assumptions!$B$18+120+50+1*Assumptions!$B$17</f>
        <v>2176</v>
      </c>
      <c r="I8" s="25" t="n">
        <f aca="false">H8/1000000*Assumptions!$B$11+Assumptions!$B$19/1000000*Assumptions!$B$12</f>
        <v>0.0005072</v>
      </c>
      <c r="J8" s="25" t="n">
        <f aca="false">H8/1000000*Assumptions!$B$7+Assumptions!$B$19/1000000*Assumptions!$B$8</f>
        <v>0.002476</v>
      </c>
      <c r="K8" s="25" t="n">
        <f aca="false">(H8/1000000*Assumptions!$B$13+Assumptions!$B$19/1000000*Assumptions!$B$14)*Assumptions!$B$15</f>
        <v>0.00428967</v>
      </c>
      <c r="L8" s="27" t="n">
        <f aca="false">IFERROR(I8/F8,0)</f>
        <v>0.257985757884029</v>
      </c>
    </row>
    <row r="9" customFormat="false" ht="15" hidden="false" customHeight="true" outlineLevel="0" collapsed="false">
      <c r="A9" s="22" t="s">
        <v>116</v>
      </c>
      <c r="B9" s="8" t="s">
        <v>117</v>
      </c>
      <c r="C9" s="8" t="s">
        <v>115</v>
      </c>
      <c r="D9" s="23" t="n">
        <f aca="false">Assumptions!$B$17+300</f>
        <v>2106</v>
      </c>
      <c r="E9" s="24" t="n">
        <v>300</v>
      </c>
      <c r="F9" s="25" t="n">
        <f aca="false">D9/1000000*Assumptions!$B$7+E9/1000000*Assumptions!$B$8</f>
        <v>0.003606</v>
      </c>
      <c r="G9" s="8" t="s">
        <v>110</v>
      </c>
      <c r="H9" s="26" t="n">
        <f aca="false">Assumptions!$B$18+300+300+1*Assumptions!$B$17</f>
        <v>2606</v>
      </c>
      <c r="I9" s="25" t="n">
        <f aca="false">H9/1000000*Assumptions!$B$11+Assumptions!$B$19/1000000*Assumptions!$B$12</f>
        <v>0.0005932</v>
      </c>
      <c r="J9" s="25" t="n">
        <f aca="false">H9/1000000*Assumptions!$B$7+Assumptions!$B$19/1000000*Assumptions!$B$8</f>
        <v>0.002906</v>
      </c>
      <c r="K9" s="25" t="n">
        <f aca="false">(H9/1000000*Assumptions!$B$13+Assumptions!$B$19/1000000*Assumptions!$B$14)*Assumptions!$B$15</f>
        <v>0.005034645</v>
      </c>
      <c r="L9" s="27" t="n">
        <f aca="false">IFERROR(I9/F9,0)</f>
        <v>0.164503605102607</v>
      </c>
    </row>
    <row r="10" customFormat="false" ht="15" hidden="false" customHeight="true" outlineLevel="0" collapsed="false">
      <c r="A10" s="22" t="s">
        <v>118</v>
      </c>
      <c r="B10" s="8" t="s">
        <v>119</v>
      </c>
      <c r="C10" s="8" t="s">
        <v>115</v>
      </c>
      <c r="D10" s="23" t="n">
        <f aca="false">3*Assumptions!$B$17+300</f>
        <v>5718</v>
      </c>
      <c r="E10" s="24" t="n">
        <v>700</v>
      </c>
      <c r="F10" s="25" t="n">
        <f aca="false">D10/1000000*Assumptions!$B$7+E10/1000000*Assumptions!$B$8</f>
        <v>0.009218</v>
      </c>
      <c r="G10" s="8" t="s">
        <v>120</v>
      </c>
      <c r="H10" s="26" t="n">
        <f aca="false">Assumptions!$B$18+300+700+0*Assumptions!$B$17</f>
        <v>1200</v>
      </c>
      <c r="I10" s="25" t="n">
        <f aca="false">H10/1000000*Assumptions!$B$11+Assumptions!$B$19/1000000*Assumptions!$B$12</f>
        <v>0.000312</v>
      </c>
      <c r="J10" s="25" t="n">
        <f aca="false">H10/1000000*Assumptions!$B$7+Assumptions!$B$19/1000000*Assumptions!$B$8</f>
        <v>0.0015</v>
      </c>
      <c r="K10" s="25" t="n">
        <f aca="false">(H10/1000000*Assumptions!$B$13+Assumptions!$B$19/1000000*Assumptions!$B$14)*Assumptions!$B$15</f>
        <v>0.00259875</v>
      </c>
      <c r="L10" s="27" t="n">
        <f aca="false">IFERROR(I10/F10,0)</f>
        <v>0.0338468214363202</v>
      </c>
    </row>
    <row r="11" customFormat="false" ht="15" hidden="false" customHeight="true" outlineLevel="0" collapsed="false">
      <c r="A11" s="22" t="s">
        <v>121</v>
      </c>
      <c r="B11" s="8" t="s">
        <v>122</v>
      </c>
      <c r="C11" s="8" t="s">
        <v>115</v>
      </c>
      <c r="D11" s="23" t="n">
        <f aca="false">1500</f>
        <v>1500</v>
      </c>
      <c r="E11" s="24" t="n">
        <v>400</v>
      </c>
      <c r="F11" s="25" t="n">
        <f aca="false">D11/1000000*Assumptions!$B$7+E11/1000000*Assumptions!$B$8</f>
        <v>0.0035</v>
      </c>
      <c r="G11" s="8" t="s">
        <v>120</v>
      </c>
      <c r="H11" s="26" t="n">
        <f aca="false">Assumptions!$B$18+1500+400+0*Assumptions!$B$17</f>
        <v>2100</v>
      </c>
      <c r="I11" s="25" t="n">
        <f aca="false">H11/1000000*Assumptions!$B$11+Assumptions!$B$19/1000000*Assumptions!$B$12</f>
        <v>0.000492</v>
      </c>
      <c r="J11" s="25" t="n">
        <f aca="false">H11/1000000*Assumptions!$B$7+Assumptions!$B$19/1000000*Assumptions!$B$8</f>
        <v>0.0024</v>
      </c>
      <c r="K11" s="25" t="n">
        <f aca="false">(H11/1000000*Assumptions!$B$13+Assumptions!$B$19/1000000*Assumptions!$B$14)*Assumptions!$B$15</f>
        <v>0.004158</v>
      </c>
      <c r="L11" s="27" t="n">
        <f aca="false">IFERROR(I11/F11,0)</f>
        <v>0.140571428571429</v>
      </c>
    </row>
    <row r="13" customFormat="false" ht="15" hidden="false" customHeight="true" outlineLevel="0" collapsed="false">
      <c r="A13" s="3" t="s">
        <v>123</v>
      </c>
    </row>
    <row r="14" customFormat="false" ht="15" hidden="false" customHeight="true" outlineLevel="0" collapsed="false">
      <c r="A14" s="3" t="s">
        <v>124</v>
      </c>
    </row>
    <row r="15" customFormat="false" ht="15" hidden="false" customHeight="true" outlineLevel="0" collapsed="false">
      <c r="A15" s="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4" min="3" style="1" width="15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3"/>
  </cols>
  <sheetData>
    <row r="1" customFormat="false" ht="17.25" hidden="false" customHeight="true" outlineLevel="0" collapsed="false">
      <c r="A1" s="2" t="s">
        <v>126</v>
      </c>
    </row>
    <row r="2" customFormat="false" ht="15" hidden="false" customHeight="true" outlineLevel="0" collapsed="false">
      <c r="A2" s="3" t="s">
        <v>127</v>
      </c>
    </row>
    <row r="5" customFormat="false" ht="23.25" hidden="false" customHeight="true" outlineLevel="0" collapsed="false">
      <c r="A5" s="4" t="s">
        <v>95</v>
      </c>
      <c r="B5" s="4" t="s">
        <v>96</v>
      </c>
      <c r="C5" s="4" t="s">
        <v>128</v>
      </c>
      <c r="D5" s="4" t="s">
        <v>129</v>
      </c>
      <c r="E5" s="4" t="s">
        <v>130</v>
      </c>
      <c r="F5" s="4" t="s">
        <v>131</v>
      </c>
      <c r="G5" s="4" t="s">
        <v>132</v>
      </c>
      <c r="H5" s="4" t="s">
        <v>133</v>
      </c>
      <c r="I5" s="4" t="s">
        <v>134</v>
      </c>
    </row>
    <row r="6" customFormat="false" ht="15" hidden="false" customHeight="true" outlineLevel="0" collapsed="false">
      <c r="A6" s="22" t="s">
        <v>107</v>
      </c>
      <c r="B6" s="8" t="s">
        <v>108</v>
      </c>
      <c r="C6" s="23" t="n">
        <f aca="false">Assumptions!$B$22</f>
        <v>7790</v>
      </c>
      <c r="D6" s="10" t="s">
        <v>135</v>
      </c>
      <c r="E6" s="28" t="n">
        <f aca="false">'Per-Item Cost'!F6*C6</f>
        <v>84.27222</v>
      </c>
      <c r="F6" s="28" t="n">
        <f aca="false">'Per-Item Cost'!I6*C6</f>
        <v>4.621028</v>
      </c>
      <c r="G6" s="28" t="n">
        <f aca="false">'Per-Item Cost'!J6*C6</f>
        <v>22.63774</v>
      </c>
      <c r="H6" s="28" t="n">
        <f aca="false">(E6+F6)*Assumptions!$B$20</f>
        <v>8.8893248</v>
      </c>
      <c r="I6" s="27" t="n">
        <f aca="false">IFERROR(F6/E6,0)</f>
        <v>0.0548345350342023</v>
      </c>
    </row>
    <row r="7" customFormat="false" ht="15" hidden="false" customHeight="true" outlineLevel="0" collapsed="false">
      <c r="A7" s="22" t="s">
        <v>111</v>
      </c>
      <c r="B7" s="8" t="s">
        <v>112</v>
      </c>
      <c r="C7" s="23" t="n">
        <f aca="false">Assumptions!$B$22*Assumptions!$B$23*Assumptions!$B$25*Assumptions!$B$24</f>
        <v>19630.8</v>
      </c>
      <c r="D7" s="10" t="s">
        <v>136</v>
      </c>
      <c r="E7" s="28" t="n">
        <f aca="false">'Per-Item Cost'!F7*C7</f>
        <v>556.8865344</v>
      </c>
      <c r="F7" s="28" t="n">
        <f aca="false">'Per-Item Cost'!I7*C7</f>
        <v>10.85975856</v>
      </c>
      <c r="G7" s="28" t="n">
        <f aca="false">'Per-Item Cost'!J7*C7</f>
        <v>53.1209448</v>
      </c>
      <c r="H7" s="28" t="n">
        <f aca="false">(E7+F7)*Assumptions!$B$20</f>
        <v>56.774629296</v>
      </c>
      <c r="I7" s="27" t="n">
        <f aca="false">IFERROR(F7/E7,0)</f>
        <v>0.0195008460236887</v>
      </c>
    </row>
    <row r="8" customFormat="false" ht="15" hidden="false" customHeight="true" outlineLevel="0" collapsed="false">
      <c r="A8" s="22" t="s">
        <v>113</v>
      </c>
      <c r="B8" s="8" t="s">
        <v>114</v>
      </c>
      <c r="C8" s="23" t="n">
        <f aca="false">Assumptions!$B$22*Assumptions!$B$23*Assumptions!$B$24</f>
        <v>196308</v>
      </c>
      <c r="D8" s="10" t="s">
        <v>137</v>
      </c>
      <c r="E8" s="28" t="n">
        <f aca="false">'Per-Item Cost'!F8*C8</f>
        <v>385.941528</v>
      </c>
      <c r="F8" s="28" t="n">
        <f aca="false">'Per-Item Cost'!I8*C8*Assumptions!$B$28</f>
        <v>9.95674176</v>
      </c>
      <c r="G8" s="28" t="n">
        <f aca="false">'Per-Item Cost'!J8*C8*Assumptions!$B$28</f>
        <v>48.6058608</v>
      </c>
      <c r="H8" s="28" t="n">
        <f aca="false">(E8+F8)*Assumptions!$B$20</f>
        <v>39.589826976</v>
      </c>
      <c r="I8" s="27" t="n">
        <f aca="false">IFERROR(F8/E8,0)</f>
        <v>0.0257985757884029</v>
      </c>
    </row>
    <row r="9" customFormat="false" ht="15" hidden="false" customHeight="true" outlineLevel="0" collapsed="false">
      <c r="A9" s="22" t="s">
        <v>116</v>
      </c>
      <c r="B9" s="8" t="s">
        <v>117</v>
      </c>
      <c r="C9" s="23" t="n">
        <f aca="false">Assumptions!$B$26</f>
        <v>5000</v>
      </c>
      <c r="D9" s="10" t="s">
        <v>138</v>
      </c>
      <c r="E9" s="28" t="n">
        <f aca="false">'Per-Item Cost'!F9*C9</f>
        <v>18.03</v>
      </c>
      <c r="F9" s="28" t="n">
        <f aca="false">'Per-Item Cost'!I9*C9</f>
        <v>2.966</v>
      </c>
      <c r="G9" s="28" t="n">
        <f aca="false">'Per-Item Cost'!J9*C9</f>
        <v>14.53</v>
      </c>
      <c r="H9" s="28" t="n">
        <f aca="false">(E9+F9)*Assumptions!$B$20</f>
        <v>2.0996</v>
      </c>
      <c r="I9" s="27" t="n">
        <f aca="false">IFERROR(F9/E9,0)</f>
        <v>0.164503605102607</v>
      </c>
    </row>
    <row r="10" customFormat="false" ht="15" hidden="false" customHeight="true" outlineLevel="0" collapsed="false">
      <c r="A10" s="22" t="s">
        <v>118</v>
      </c>
      <c r="B10" s="8" t="s">
        <v>119</v>
      </c>
      <c r="C10" s="23" t="n">
        <f aca="false">Assumptions!$B$22*Assumptions!$B$23</f>
        <v>11685</v>
      </c>
      <c r="D10" s="10" t="s">
        <v>139</v>
      </c>
      <c r="E10" s="28" t="n">
        <f aca="false">'Per-Item Cost'!F10*C10</f>
        <v>107.71233</v>
      </c>
      <c r="F10" s="28" t="n">
        <f aca="false">'Per-Item Cost'!I10*C10</f>
        <v>3.64572</v>
      </c>
      <c r="G10" s="28" t="n">
        <f aca="false">'Per-Item Cost'!J10*C10</f>
        <v>17.5275</v>
      </c>
      <c r="H10" s="28" t="n">
        <f aca="false">(E10+F10)*Assumptions!$B$20</f>
        <v>11.135805</v>
      </c>
      <c r="I10" s="27" t="n">
        <f aca="false">IFERROR(F10/E10,0)</f>
        <v>0.0338468214363202</v>
      </c>
    </row>
    <row r="11" customFormat="false" ht="15" hidden="false" customHeight="true" outlineLevel="0" collapsed="false">
      <c r="A11" s="22" t="s">
        <v>121</v>
      </c>
      <c r="B11" s="8" t="s">
        <v>122</v>
      </c>
      <c r="C11" s="23" t="n">
        <f aca="false">Assumptions!$B$27*365</f>
        <v>7300</v>
      </c>
      <c r="D11" s="10" t="s">
        <v>140</v>
      </c>
      <c r="E11" s="28" t="n">
        <f aca="false">'Per-Item Cost'!F11*C11</f>
        <v>25.55</v>
      </c>
      <c r="F11" s="28" t="n">
        <f aca="false">'Per-Item Cost'!I11*C11</f>
        <v>3.5916</v>
      </c>
      <c r="G11" s="28" t="n">
        <f aca="false">'Per-Item Cost'!J11*C11</f>
        <v>17.52</v>
      </c>
      <c r="H11" s="28" t="n">
        <f aca="false">(E11+F11)*Assumptions!$B$20</f>
        <v>2.91416</v>
      </c>
      <c r="I11" s="27" t="n">
        <f aca="false">IFERROR(F11/E11,0)</f>
        <v>0.140571428571429</v>
      </c>
    </row>
    <row r="12" customFormat="false" ht="15" hidden="false" customHeight="true" outlineLevel="0" collapsed="false">
      <c r="B12" s="13" t="s">
        <v>141</v>
      </c>
      <c r="E12" s="29" t="n">
        <f aca="false">SUM(E6:E11)</f>
        <v>1178.3926124</v>
      </c>
      <c r="F12" s="29" t="n">
        <f aca="false">SUM(F6:F11)</f>
        <v>35.64084832</v>
      </c>
      <c r="G12" s="29" t="n">
        <f aca="false">SUM(G6:G11)</f>
        <v>173.9420456</v>
      </c>
      <c r="H12" s="29" t="n">
        <f aca="false">SUM(H6:H11)</f>
        <v>121.403346072</v>
      </c>
    </row>
    <row r="14" customFormat="false" ht="15" hidden="false" customHeight="true" outlineLevel="0" collapsed="false">
      <c r="A14" s="30" t="s">
        <v>142</v>
      </c>
    </row>
    <row r="15" customFormat="false" ht="23.25" hidden="false" customHeight="true" outlineLevel="0" collapsed="false">
      <c r="A15" s="4" t="s">
        <v>143</v>
      </c>
      <c r="B15" s="4" t="s">
        <v>144</v>
      </c>
      <c r="C15" s="4" t="s">
        <v>145</v>
      </c>
      <c r="D15" s="4" t="s">
        <v>146</v>
      </c>
      <c r="E15" s="4" t="s">
        <v>147</v>
      </c>
      <c r="F15" s="4" t="s">
        <v>148</v>
      </c>
    </row>
    <row r="16" customFormat="false" ht="15" hidden="false" customHeight="true" outlineLevel="0" collapsed="false">
      <c r="A16" s="8" t="s">
        <v>149</v>
      </c>
      <c r="B16" s="28" t="n">
        <f aca="false">0</f>
        <v>0</v>
      </c>
      <c r="C16" s="31" t="n">
        <f aca="false">Assumptions!$B$31+B16</f>
        <v>11131.37</v>
      </c>
      <c r="D16" s="31" t="n">
        <f aca="false">Assumptions!$B$30-C16</f>
        <v>224022.63</v>
      </c>
      <c r="E16" s="32" t="n">
        <f aca="false">D16/Assumptions!$B$30</f>
        <v>0.952663488607466</v>
      </c>
      <c r="F16" s="33" t="n">
        <f aca="false">E16-E$16</f>
        <v>0</v>
      </c>
    </row>
    <row r="17" customFormat="false" ht="15" hidden="false" customHeight="true" outlineLevel="0" collapsed="false">
      <c r="A17" s="22" t="s">
        <v>150</v>
      </c>
      <c r="B17" s="28" t="n">
        <f aca="false">F12+H12</f>
        <v>157.044194392</v>
      </c>
      <c r="C17" s="31" t="n">
        <f aca="false">Assumptions!$B$31+B17</f>
        <v>11288.414194392</v>
      </c>
      <c r="D17" s="31" t="n">
        <f aca="false">Assumptions!$B$30-C17</f>
        <v>223865.585805608</v>
      </c>
      <c r="E17" s="32" t="n">
        <f aca="false">D17/Assumptions!$B$30</f>
        <v>0.951995653085246</v>
      </c>
      <c r="F17" s="33" t="n">
        <f aca="false">E17-E$16</f>
        <v>-0.000667835522219495</v>
      </c>
    </row>
    <row r="18" customFormat="false" ht="15" hidden="false" customHeight="true" outlineLevel="0" collapsed="false">
      <c r="A18" s="22" t="s">
        <v>151</v>
      </c>
      <c r="B18" s="28" t="n">
        <f aca="false">G12+H12*1.6</f>
        <v>368.1873993152</v>
      </c>
      <c r="C18" s="31" t="n">
        <f aca="false">Assumptions!$B$31+B18</f>
        <v>11499.5573993152</v>
      </c>
      <c r="D18" s="31" t="n">
        <f aca="false">Assumptions!$B$30-C18</f>
        <v>223654.442600685</v>
      </c>
      <c r="E18" s="32" t="n">
        <f aca="false">D18/Assumptions!$B$30</f>
        <v>0.951097759768853</v>
      </c>
      <c r="F18" s="33" t="n">
        <f aca="false">E18-E$16</f>
        <v>-0.00156572883861306</v>
      </c>
    </row>
    <row r="20" customFormat="false" ht="15" hidden="false" customHeight="true" outlineLevel="0" collapsed="false">
      <c r="A20" s="34" t="s">
        <v>152</v>
      </c>
      <c r="B20" s="35" t="n">
        <f aca="false">B17/Assumptions!$B$32</f>
        <v>0.250469209556619</v>
      </c>
    </row>
    <row r="21" customFormat="false" ht="15" hidden="false" customHeight="true" outlineLevel="0" collapsed="false">
      <c r="A21" s="34" t="s">
        <v>153</v>
      </c>
      <c r="B21" s="36" t="n">
        <f aca="false">B17/Assumptions!$B$30</f>
        <v>0.000667835522219482</v>
      </c>
    </row>
    <row r="23" customFormat="false" ht="15" hidden="false" customHeight="true" outlineLevel="0" collapsed="false">
      <c r="A23" s="3" t="s">
        <v>154</v>
      </c>
    </row>
    <row r="24" customFormat="false" ht="15" hidden="false" customHeight="true" outlineLevel="0" collapsed="false">
      <c r="A24" s="3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5"/>
    <col collapsed="false" customWidth="true" hidden="false" outlineLevel="0" max="4" min="4" style="1" width="72"/>
  </cols>
  <sheetData>
    <row r="1" customFormat="false" ht="17.25" hidden="false" customHeight="true" outlineLevel="0" collapsed="false">
      <c r="A1" s="2" t="s">
        <v>156</v>
      </c>
    </row>
    <row r="2" customFormat="false" ht="15" hidden="false" customHeight="true" outlineLevel="0" collapsed="false">
      <c r="A2" s="3" t="s">
        <v>157</v>
      </c>
    </row>
    <row r="5" customFormat="false" ht="23.25" hidden="false" customHeight="true" outlineLevel="0" collapsed="false">
      <c r="A5" s="4" t="s">
        <v>158</v>
      </c>
      <c r="B5" s="4" t="s">
        <v>131</v>
      </c>
      <c r="C5" s="4" t="s">
        <v>132</v>
      </c>
      <c r="D5" s="4" t="s">
        <v>159</v>
      </c>
    </row>
    <row r="6" customFormat="false" ht="15" hidden="false" customHeight="true" outlineLevel="0" collapsed="false">
      <c r="A6" s="37" t="n">
        <v>1</v>
      </c>
      <c r="B6" s="28" t="n">
        <f aca="false">'Per-Item Cost'!I8*'Annual Impact'!C8*A6</f>
        <v>99.5674176</v>
      </c>
      <c r="C6" s="28" t="n">
        <f aca="false">'Per-Item Cost'!J8*'Annual Impact'!C8*A6</f>
        <v>486.058608</v>
      </c>
      <c r="D6" s="8" t="s">
        <v>160</v>
      </c>
    </row>
    <row r="7" customFormat="false" ht="15" hidden="false" customHeight="true" outlineLevel="0" collapsed="false">
      <c r="A7" s="37" t="n">
        <v>0.25</v>
      </c>
      <c r="B7" s="28" t="n">
        <f aca="false">'Per-Item Cost'!I8*'Annual Impact'!C8*A7</f>
        <v>24.8918544</v>
      </c>
      <c r="C7" s="28" t="n">
        <f aca="false">'Per-Item Cost'!J8*'Annual Impact'!C8*A7</f>
        <v>121.514652</v>
      </c>
      <c r="D7" s="8" t="s">
        <v>161</v>
      </c>
    </row>
    <row r="8" customFormat="false" ht="15" hidden="false" customHeight="true" outlineLevel="0" collapsed="false">
      <c r="A8" s="37" t="n">
        <v>0.1</v>
      </c>
      <c r="B8" s="28" t="n">
        <f aca="false">'Per-Item Cost'!I8*'Annual Impact'!C8*A8</f>
        <v>9.95674176</v>
      </c>
      <c r="C8" s="28" t="n">
        <f aca="false">'Per-Item Cost'!J8*'Annual Impact'!C8*A8</f>
        <v>48.6058608</v>
      </c>
      <c r="D8" s="8" t="s">
        <v>162</v>
      </c>
    </row>
    <row r="9" customFormat="false" ht="15" hidden="false" customHeight="true" outlineLevel="0" collapsed="false">
      <c r="A9" s="37" t="n">
        <v>0.05</v>
      </c>
      <c r="B9" s="28" t="n">
        <f aca="false">'Per-Item Cost'!I8*'Annual Impact'!C8*A9</f>
        <v>4.97837088</v>
      </c>
      <c r="C9" s="28" t="n">
        <f aca="false">'Per-Item Cost'!J8*'Annual Impact'!C8*A9</f>
        <v>24.3029304</v>
      </c>
      <c r="D9" s="8" t="s">
        <v>163</v>
      </c>
    </row>
    <row r="10" customFormat="false" ht="15" hidden="false" customHeight="true" outlineLevel="0" collapsed="false">
      <c r="A10" s="37" t="n">
        <v>0</v>
      </c>
      <c r="B10" s="28" t="n">
        <f aca="false">'Per-Item Cost'!I8*'Annual Impact'!C8*A10</f>
        <v>0</v>
      </c>
      <c r="C10" s="28" t="n">
        <f aca="false">'Per-Item Cost'!J8*'Annual Impact'!C8*A10</f>
        <v>0</v>
      </c>
      <c r="D10" s="8" t="s">
        <v>164</v>
      </c>
    </row>
    <row r="13" customFormat="false" ht="15" hidden="false" customHeight="true" outlineLevel="0" collapsed="false">
      <c r="A13" s="30" t="s">
        <v>165</v>
      </c>
    </row>
    <row r="14" customFormat="false" ht="15" hidden="false" customHeight="true" outlineLevel="0" collapsed="false">
      <c r="A14" s="34" t="s">
        <v>166</v>
      </c>
    </row>
    <row r="15" customFormat="false" ht="15" hidden="false" customHeight="true" outlineLevel="0" collapsed="false">
      <c r="A15" s="34" t="s">
        <v>167</v>
      </c>
    </row>
    <row r="16" customFormat="false" ht="15" hidden="false" customHeight="true" outlineLevel="0" collapsed="false">
      <c r="A16" s="34" t="s">
        <v>168</v>
      </c>
    </row>
    <row r="17" customFormat="false" ht="15" hidden="false" customHeight="true" outlineLevel="0" collapsed="false">
      <c r="A17" s="34" t="s">
        <v>169</v>
      </c>
    </row>
    <row r="18" customFormat="false" ht="15" hidden="false" customHeight="true" outlineLevel="0" collapsed="false">
      <c r="A18" s="34" t="s">
        <v>170</v>
      </c>
    </row>
    <row r="19" customFormat="false" ht="15" hidden="false" customHeight="true" outlineLevel="0" collapsed="false">
      <c r="A19" s="3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38" t="s">
        <v>172</v>
      </c>
    </row>
    <row r="2" customFormat="false" ht="15" hidden="false" customHeight="false" outlineLevel="0" collapsed="false">
      <c r="A2" s="39" t="s">
        <v>173</v>
      </c>
    </row>
    <row r="5" customFormat="false" ht="23.85" hidden="false" customHeight="false" outlineLevel="0" collapsed="false">
      <c r="A5" s="4" t="s">
        <v>96</v>
      </c>
      <c r="B5" s="4" t="s">
        <v>128</v>
      </c>
      <c r="C5" s="4" t="s">
        <v>174</v>
      </c>
      <c r="D5" s="4" t="s">
        <v>175</v>
      </c>
      <c r="E5" s="4" t="s">
        <v>176</v>
      </c>
      <c r="F5" s="4" t="s">
        <v>177</v>
      </c>
      <c r="G5" s="4" t="s">
        <v>178</v>
      </c>
      <c r="H5" s="4" t="s">
        <v>179</v>
      </c>
      <c r="I5" s="4" t="s">
        <v>180</v>
      </c>
    </row>
    <row r="6" customFormat="false" ht="15" hidden="false" customHeight="false" outlineLevel="0" collapsed="false">
      <c r="A6" s="40" t="s">
        <v>181</v>
      </c>
      <c r="B6" s="41" t="n">
        <f aca="false">'Annual Impact'!C8</f>
        <v>196308</v>
      </c>
      <c r="C6" s="42" t="n">
        <f aca="false">((Assumptions!$B$49+120)/1000000*Assumptions!$B$7+8/1000000*Assumptions!$B$8)*B6</f>
        <v>385.941528</v>
      </c>
      <c r="D6" s="42" t="n">
        <f aca="false">((Assumptions!$B$51+120)/1000000*Assumptions!$B$43+8/1000000*Assumptions!$B$44)*B6</f>
        <v>14.5660536</v>
      </c>
      <c r="E6" s="42" t="n">
        <f aca="false">((200+170+Assumptions!$B$49)/1000000*Assumptions!$B$7+Assumptions!$B$19/1000000*Assumptions!$B$8)*B6</f>
        <v>486.058608</v>
      </c>
      <c r="F6" s="42" t="n">
        <f aca="false">((200+170+Assumptions!$B$51)/1000000*Assumptions!$B$43+Assumptions!$B$19/1000000*Assumptions!$B$44)*B6*(1-Assumptions!$B$53)</f>
        <v>11.77848</v>
      </c>
      <c r="G6" s="42" t="n">
        <f aca="false">C6+E6</f>
        <v>872.000136</v>
      </c>
      <c r="H6" s="42" t="n">
        <f aca="false">D6+F6</f>
        <v>26.3445336</v>
      </c>
      <c r="I6" s="43" t="n">
        <f aca="false">IFERROR(1-H6/G6,0)</f>
        <v>0.969788383610986</v>
      </c>
    </row>
    <row r="7" customFormat="false" ht="15" hidden="false" customHeight="false" outlineLevel="0" collapsed="false">
      <c r="A7" s="40" t="s">
        <v>182</v>
      </c>
      <c r="B7" s="41" t="n">
        <f aca="false">'Annual Impact'!C6</f>
        <v>7790</v>
      </c>
      <c r="C7" s="42" t="n">
        <f aca="false">((Assumptions!$B$49+300)/1000000*Assumptions!$B$9+300/1000000*Assumptions!$B$10)*B7</f>
        <v>84.27222</v>
      </c>
      <c r="D7" s="42" t="n">
        <f aca="false">((Assumptions!$B$50+300)/1000000*Assumptions!$B$45+300/1000000*Assumptions!$B$46)*B7</f>
        <v>12.265355</v>
      </c>
      <c r="E7" s="42" t="n">
        <f aca="false">((200+600+Assumptions!$B$49)/1000000*Assumptions!$B$7+Assumptions!$B$19/1000000*Assumptions!$B$8)*B7</f>
        <v>22.63774</v>
      </c>
      <c r="F7" s="42" t="n">
        <f aca="false">((200+600+Assumptions!$B$50)/1000000*Assumptions!$B$43+Assumptions!$B$19/1000000*Assumptions!$B$44)*B7*(1-Assumptions!$B$53)</f>
        <v>0.8136655</v>
      </c>
      <c r="G7" s="42" t="n">
        <f aca="false">C7+E7</f>
        <v>106.90996</v>
      </c>
      <c r="H7" s="42" t="n">
        <f aca="false">D7+F7</f>
        <v>13.0790205</v>
      </c>
      <c r="I7" s="43" t="n">
        <f aca="false">IFERROR(1-H7/G7,0)</f>
        <v>0.877663217720781</v>
      </c>
    </row>
    <row r="8" customFormat="false" ht="15" hidden="false" customHeight="false" outlineLevel="0" collapsed="false">
      <c r="A8" s="40" t="s">
        <v>183</v>
      </c>
      <c r="B8" s="41" t="n">
        <f aca="false">'Annual Impact'!C7</f>
        <v>19630.8</v>
      </c>
      <c r="C8" s="42" t="n">
        <f aca="false">((Assumptions!$B$49+650)/1000000*Assumptions!$B$9+1400/1000000*Assumptions!$B$10)*B8</f>
        <v>556.8865344</v>
      </c>
      <c r="D8" s="42" t="n">
        <f aca="false">((Assumptions!$B$51+650)/1000000*Assumptions!$B$45+1400/1000000*Assumptions!$B$46)*B8</f>
        <v>94.620456</v>
      </c>
      <c r="E8" s="42" t="n">
        <f aca="false">((200+400+Assumptions!$B$49)/1000000*Assumptions!$B$7+Assumptions!$B$19/1000000*Assumptions!$B$8)*B8</f>
        <v>53.1209448</v>
      </c>
      <c r="F8" s="42" t="n">
        <f aca="false">((200+400+Assumptions!$B$51)/1000000*Assumptions!$B$43+Assumptions!$B$19/1000000*Assumptions!$B$44)*B8*(1-Assumptions!$B$53)</f>
        <v>1.4036022</v>
      </c>
      <c r="G8" s="42" t="n">
        <f aca="false">C8+E8</f>
        <v>610.0074792</v>
      </c>
      <c r="H8" s="42" t="n">
        <f aca="false">D8+F8</f>
        <v>96.0240582</v>
      </c>
      <c r="I8" s="43" t="n">
        <f aca="false">IFERROR(1-H8/G8,0)</f>
        <v>0.842585441204866</v>
      </c>
    </row>
    <row r="9" customFormat="false" ht="15" hidden="false" customHeight="false" outlineLevel="0" collapsed="false">
      <c r="A9" s="40" t="s">
        <v>184</v>
      </c>
      <c r="B9" s="41" t="n">
        <f aca="false">'Annual Impact'!C9</f>
        <v>5000</v>
      </c>
      <c r="C9" s="42" t="n">
        <f aca="false">((Assumptions!$B$49+300)/1000000*Assumptions!$B$7+300/1000000*Assumptions!$B$8)*B9</f>
        <v>18.03</v>
      </c>
      <c r="D9" s="42" t="n">
        <f aca="false">((Assumptions!$B$51+300)/1000000*Assumptions!$B$43+300/1000000*Assumptions!$B$44)*B9</f>
        <v>1.045</v>
      </c>
      <c r="E9" s="42" t="n">
        <f aca="false">((200+600+Assumptions!$B$49)/1000000*Assumptions!$B$7+Assumptions!$B$19/1000000*Assumptions!$B$8)*B9</f>
        <v>14.53</v>
      </c>
      <c r="F9" s="42" t="n">
        <f aca="false">((200+600+Assumptions!$B$51)/1000000*Assumptions!$B$43+Assumptions!$B$19/1000000*Assumptions!$B$44)*B9*(1-Assumptions!$B$53)</f>
        <v>0.4075</v>
      </c>
      <c r="G9" s="42" t="n">
        <f aca="false">C9+E9</f>
        <v>32.56</v>
      </c>
      <c r="H9" s="42" t="n">
        <f aca="false">D9+F9</f>
        <v>1.4525</v>
      </c>
      <c r="I9" s="43" t="n">
        <f aca="false">IFERROR(1-H9/G9,0)</f>
        <v>0.955390049140049</v>
      </c>
    </row>
    <row r="10" customFormat="false" ht="15" hidden="false" customHeight="false" outlineLevel="0" collapsed="false">
      <c r="A10" s="40" t="s">
        <v>185</v>
      </c>
      <c r="B10" s="41" t="n">
        <f aca="false">'Annual Impact'!C10</f>
        <v>11685</v>
      </c>
      <c r="C10" s="42" t="n">
        <f aca="false">((3*Assumptions!$B$49+300)/1000000*Assumptions!$B$7+700/1000000*Assumptions!$B$8)*B10</f>
        <v>107.71233</v>
      </c>
      <c r="D10" s="42" t="n">
        <f aca="false">((3*Assumptions!$B$51+300)/1000000*Assumptions!$B$43+700/1000000*Assumptions!$B$44)*B10</f>
        <v>5.690595</v>
      </c>
      <c r="E10" s="42" t="n">
        <f aca="false">((200+1000)/1000000*Assumptions!$B$7+Assumptions!$B$19/1000000*Assumptions!$B$8)*B10</f>
        <v>17.5275</v>
      </c>
      <c r="F10" s="42" t="n">
        <f aca="false">((200+1000)/1000000*Assumptions!$B$43+Assumptions!$B$19/1000000*Assumptions!$B$44)*B10*(1-Assumptions!$B$53)</f>
        <v>0.84132</v>
      </c>
      <c r="G10" s="42" t="n">
        <f aca="false">C10+E10</f>
        <v>125.23983</v>
      </c>
      <c r="H10" s="42" t="n">
        <f aca="false">D10+F10</f>
        <v>6.531915</v>
      </c>
      <c r="I10" s="43" t="n">
        <f aca="false">IFERROR(1-H10/G10,0)</f>
        <v>0.94784474715432</v>
      </c>
    </row>
    <row r="11" customFormat="false" ht="15" hidden="false" customHeight="false" outlineLevel="0" collapsed="false">
      <c r="A11" s="40" t="s">
        <v>186</v>
      </c>
      <c r="B11" s="41" t="n">
        <f aca="false">'Annual Impact'!C11</f>
        <v>7300</v>
      </c>
      <c r="C11" s="42" t="n">
        <f aca="false">((1500)/1000000*Assumptions!$B$7+400/1000000*Assumptions!$B$8)*B11</f>
        <v>25.55</v>
      </c>
      <c r="D11" s="42" t="n">
        <f aca="false">((1500)/1000000*Assumptions!$B$43+400/1000000*Assumptions!$B$44)*B11</f>
        <v>2.263</v>
      </c>
      <c r="E11" s="42" t="n">
        <f aca="false">((200+1900)/1000000*Assumptions!$B$7+Assumptions!$B$19/1000000*Assumptions!$B$8)*B11</f>
        <v>17.52</v>
      </c>
      <c r="F11" s="42" t="n">
        <f aca="false">((200+1900)/1000000*Assumptions!$B$43+Assumptions!$B$19/1000000*Assumptions!$B$44)*B11*(1-Assumptions!$B$53)</f>
        <v>0.8541</v>
      </c>
      <c r="G11" s="42" t="n">
        <f aca="false">C11+E11</f>
        <v>43.07</v>
      </c>
      <c r="H11" s="42" t="n">
        <f aca="false">D11+F11</f>
        <v>3.1171</v>
      </c>
      <c r="I11" s="43" t="n">
        <f aca="false">IFERROR(1-H11/G11,0)</f>
        <v>0.927627118644068</v>
      </c>
    </row>
    <row r="12" customFormat="false" ht="15" hidden="false" customHeight="false" outlineLevel="0" collapsed="false">
      <c r="A12" s="44" t="s">
        <v>141</v>
      </c>
      <c r="C12" s="45" t="n">
        <f aca="false">SUM(C6:C11)</f>
        <v>1178.3926124</v>
      </c>
      <c r="D12" s="45" t="n">
        <f aca="false">SUM(D6:D11)</f>
        <v>130.4504596</v>
      </c>
      <c r="E12" s="45" t="n">
        <f aca="false">SUM(E6:E11)</f>
        <v>611.3947928</v>
      </c>
      <c r="F12" s="45" t="n">
        <f aca="false">SUM(F6:F11)</f>
        <v>16.0986677</v>
      </c>
      <c r="G12" s="45" t="n">
        <f aca="false">SUM(G6:G11)</f>
        <v>1789.7874052</v>
      </c>
      <c r="H12" s="45" t="n">
        <f aca="false">SUM(H6:H11)</f>
        <v>146.5491273</v>
      </c>
      <c r="I12" s="46" t="n">
        <f aca="false">IFERROR(1-H12/G12,0)</f>
        <v>0.918119254345952</v>
      </c>
    </row>
    <row r="14" customFormat="false" ht="15" hidden="false" customHeight="false" outlineLevel="0" collapsed="false">
      <c r="A14" s="47" t="s">
        <v>187</v>
      </c>
      <c r="C14" s="48" t="n">
        <f aca="false">H12/Assumptions!$B$32</f>
        <v>0.233730665550239</v>
      </c>
      <c r="D14" s="39" t="s">
        <v>188</v>
      </c>
    </row>
    <row r="16" customFormat="false" ht="15" hidden="false" customHeight="false" outlineLevel="0" collapsed="false">
      <c r="A16" s="49" t="s">
        <v>189</v>
      </c>
    </row>
    <row r="17" customFormat="false" ht="15" hidden="false" customHeight="false" outlineLevel="0" collapsed="false">
      <c r="A17" s="47" t="s">
        <v>190</v>
      </c>
    </row>
    <row r="18" customFormat="false" ht="15" hidden="false" customHeight="false" outlineLevel="0" collapsed="false">
      <c r="A18" s="39" t="s">
        <v>191</v>
      </c>
    </row>
    <row r="19" customFormat="false" ht="15" hidden="false" customHeight="false" outlineLevel="0" collapsed="false">
      <c r="A19" s="47" t="s">
        <v>192</v>
      </c>
    </row>
    <row r="20" customFormat="false" ht="15" hidden="false" customHeight="false" outlineLevel="0" collapsed="false">
      <c r="A20" s="47" t="s">
        <v>193</v>
      </c>
    </row>
    <row r="21" customFormat="false" ht="15" hidden="false" customHeight="false" outlineLevel="0" collapsed="false">
      <c r="A21" s="47" t="s">
        <v>194</v>
      </c>
    </row>
    <row r="22" customFormat="false" ht="15" hidden="false" customHeight="false" outlineLevel="0" collapsed="false">
      <c r="A22" s="47"/>
    </row>
    <row r="23" customFormat="false" ht="15" hidden="false" customHeight="false" outlineLevel="0" collapsed="false">
      <c r="A23" s="39" t="s">
        <v>195</v>
      </c>
    </row>
    <row r="24" customFormat="false" ht="15" hidden="false" customHeight="false" outlineLevel="0" collapsed="false">
      <c r="A24" s="39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1" min="11" style="1" width="10"/>
  </cols>
  <sheetData>
    <row r="1" customFormat="false" ht="17.25" hidden="false" customHeight="true" outlineLevel="0" collapsed="false">
      <c r="A1" s="2" t="s">
        <v>197</v>
      </c>
    </row>
    <row r="2" customFormat="false" ht="15" hidden="false" customHeight="true" outlineLevel="0" collapsed="false">
      <c r="A2" s="3" t="s">
        <v>198</v>
      </c>
    </row>
    <row r="5" customFormat="false" ht="23.25" hidden="false" customHeight="true" outlineLevel="0" collapsed="false">
      <c r="A5" s="4" t="s">
        <v>199</v>
      </c>
      <c r="B5" s="4" t="s">
        <v>200</v>
      </c>
      <c r="C5" s="4" t="s">
        <v>97</v>
      </c>
      <c r="D5" s="4" t="s">
        <v>201</v>
      </c>
      <c r="E5" s="4" t="s">
        <v>202</v>
      </c>
      <c r="F5" s="4" t="s">
        <v>203</v>
      </c>
      <c r="G5" s="4" t="s">
        <v>204</v>
      </c>
      <c r="H5" s="4" t="s">
        <v>205</v>
      </c>
      <c r="I5" s="4" t="s">
        <v>206</v>
      </c>
      <c r="J5" s="4" t="s">
        <v>207</v>
      </c>
      <c r="K5" s="4" t="s">
        <v>208</v>
      </c>
    </row>
    <row r="6" customFormat="false" ht="15" hidden="false" customHeight="true" outlineLevel="0" collapsed="false">
      <c r="A6" s="8" t="s">
        <v>209</v>
      </c>
      <c r="B6" s="22" t="s">
        <v>210</v>
      </c>
      <c r="C6" s="8" t="s">
        <v>115</v>
      </c>
      <c r="D6" s="25" t="n">
        <f aca="false">2000/1000000*Assumptions!$B$7+1800/1000000*Assumptions!$B$8</f>
        <v>0.011</v>
      </c>
      <c r="E6" s="25" t="n">
        <f aca="false">(Assumptions!$B$18+2000+1800)/1000000*Assumptions!$B$11+Assumptions!$B$19/1000000*Assumptions!$B$12</f>
        <v>0.000872</v>
      </c>
      <c r="F6" s="25" t="n">
        <f aca="false">D6+E6</f>
        <v>0.011872</v>
      </c>
      <c r="G6" s="28" t="n">
        <f aca="false">1*Assumptions!$B$33</f>
        <v>2</v>
      </c>
      <c r="H6" s="28" t="n">
        <f aca="false">G6*(1-Assumptions!$B$34)</f>
        <v>1.88644</v>
      </c>
      <c r="I6" s="27" t="n">
        <f aca="false">F6/H6</f>
        <v>0.00629333559508916</v>
      </c>
      <c r="J6" s="50" t="n">
        <f aca="false">Assumptions!$B$35</f>
        <v>0.1</v>
      </c>
      <c r="K6" s="22" t="str">
        <f aca="false">IF(I6&lt;=J6,"OK","BREACH")</f>
        <v>OK</v>
      </c>
    </row>
    <row r="7" customFormat="false" ht="15" hidden="false" customHeight="true" outlineLevel="0" collapsed="false">
      <c r="A7" s="8" t="s">
        <v>211</v>
      </c>
      <c r="B7" s="22" t="s">
        <v>210</v>
      </c>
      <c r="C7" s="8" t="s">
        <v>115</v>
      </c>
      <c r="D7" s="25" t="n">
        <f aca="false">1500/1000000*Assumptions!$B$7+350/1000000*Assumptions!$B$8</f>
        <v>0.00325</v>
      </c>
      <c r="E7" s="25" t="n">
        <f aca="false">(Assumptions!$B$18+1500+350)/1000000*Assumptions!$B$11+Assumptions!$B$19/1000000*Assumptions!$B$12</f>
        <v>0.000482</v>
      </c>
      <c r="F7" s="25" t="n">
        <f aca="false">D7+E7</f>
        <v>0.003732</v>
      </c>
      <c r="G7" s="28" t="n">
        <f aca="false">1*Assumptions!$B$33</f>
        <v>2</v>
      </c>
      <c r="H7" s="28" t="n">
        <f aca="false">G7*(1-Assumptions!$B$34)</f>
        <v>1.88644</v>
      </c>
      <c r="I7" s="27" t="n">
        <f aca="false">F7/H7</f>
        <v>0.00197832955196031</v>
      </c>
      <c r="J7" s="50" t="n">
        <f aca="false">Assumptions!$B$35</f>
        <v>0.1</v>
      </c>
      <c r="K7" s="22" t="str">
        <f aca="false">IF(I7&lt;=J7,"OK","BREACH")</f>
        <v>OK</v>
      </c>
    </row>
    <row r="8" customFormat="false" ht="15" hidden="false" customHeight="true" outlineLevel="0" collapsed="false">
      <c r="A8" s="8" t="s">
        <v>212</v>
      </c>
      <c r="B8" s="22" t="s">
        <v>210</v>
      </c>
      <c r="C8" s="8" t="s">
        <v>115</v>
      </c>
      <c r="D8" s="25" t="n">
        <f aca="false">1500/1000000*Assumptions!$B$7+400/1000000*Assumptions!$B$8</f>
        <v>0.0035</v>
      </c>
      <c r="E8" s="25" t="n">
        <f aca="false">(Assumptions!$B$18+1500+400)/1000000*Assumptions!$B$11+Assumptions!$B$19/1000000*Assumptions!$B$12</f>
        <v>0.000492</v>
      </c>
      <c r="F8" s="25" t="n">
        <f aca="false">D8+E8</f>
        <v>0.003992</v>
      </c>
      <c r="G8" s="28" t="n">
        <f aca="false">1*Assumptions!$B$33</f>
        <v>2</v>
      </c>
      <c r="H8" s="28" t="n">
        <f aca="false">G8*(1-Assumptions!$B$34)</f>
        <v>1.88644</v>
      </c>
      <c r="I8" s="27" t="n">
        <f aca="false">F8/H8</f>
        <v>0.00211615529780963</v>
      </c>
      <c r="J8" s="50" t="n">
        <f aca="false">Assumptions!$B$35</f>
        <v>0.1</v>
      </c>
      <c r="K8" s="22" t="str">
        <f aca="false">IF(I8&lt;=J8,"OK","BREACH")</f>
        <v>OK</v>
      </c>
    </row>
    <row r="9" customFormat="false" ht="15" hidden="false" customHeight="true" outlineLevel="0" collapsed="false">
      <c r="A9" s="8" t="s">
        <v>213</v>
      </c>
      <c r="B9" s="22" t="s">
        <v>210</v>
      </c>
      <c r="C9" s="8" t="s">
        <v>109</v>
      </c>
      <c r="D9" s="25" t="n">
        <f aca="false">2000/1000000*Assumptions!$B$9+700/1000000*Assumptions!$B$10</f>
        <v>0.0165</v>
      </c>
      <c r="E9" s="25" t="n">
        <f aca="false">(Assumptions!$B$18+2000+700)/1000000*Assumptions!$B$11+Assumptions!$B$19/1000000*Assumptions!$B$12</f>
        <v>0.000652</v>
      </c>
      <c r="F9" s="25" t="n">
        <f aca="false">D9+E9</f>
        <v>0.017152</v>
      </c>
      <c r="G9" s="28" t="n">
        <f aca="false">1*Assumptions!$B$33</f>
        <v>2</v>
      </c>
      <c r="H9" s="28" t="n">
        <f aca="false">G9*(1-Assumptions!$B$34)</f>
        <v>1.88644</v>
      </c>
      <c r="I9" s="27" t="n">
        <f aca="false">F9/H9</f>
        <v>0.00909225843387545</v>
      </c>
      <c r="J9" s="50" t="n">
        <f aca="false">Assumptions!$B$35</f>
        <v>0.1</v>
      </c>
      <c r="K9" s="22" t="str">
        <f aca="false">IF(I9&lt;=J9,"OK","BREACH")</f>
        <v>OK</v>
      </c>
    </row>
    <row r="10" customFormat="false" ht="15" hidden="false" customHeight="true" outlineLevel="0" collapsed="false">
      <c r="A10" s="8" t="s">
        <v>214</v>
      </c>
      <c r="B10" s="22" t="s">
        <v>210</v>
      </c>
      <c r="C10" s="8" t="s">
        <v>115</v>
      </c>
      <c r="D10" s="25" t="n">
        <f aca="false">1500/1000000*Assumptions!$B$7+250/1000000*Assumptions!$B$8</f>
        <v>0.00275</v>
      </c>
      <c r="E10" s="25" t="n">
        <f aca="false">(Assumptions!$B$18+1500+250)/1000000*Assumptions!$B$11+Assumptions!$B$19/1000000*Assumptions!$B$12</f>
        <v>0.000462</v>
      </c>
      <c r="F10" s="25" t="n">
        <f aca="false">D10+E10</f>
        <v>0.003212</v>
      </c>
      <c r="G10" s="28" t="n">
        <f aca="false">1*Assumptions!$B$33</f>
        <v>2</v>
      </c>
      <c r="H10" s="28" t="n">
        <f aca="false">G10*(1-Assumptions!$B$34)</f>
        <v>1.88644</v>
      </c>
      <c r="I10" s="27" t="n">
        <f aca="false">F10/H10</f>
        <v>0.00170267806026166</v>
      </c>
      <c r="J10" s="50" t="n">
        <f aca="false">Assumptions!$B$35</f>
        <v>0.1</v>
      </c>
      <c r="K10" s="22" t="str">
        <f aca="false">IF(I10&lt;=J10,"OK","BREACH")</f>
        <v>OK</v>
      </c>
    </row>
    <row r="11" customFormat="false" ht="15" hidden="false" customHeight="true" outlineLevel="0" collapsed="false">
      <c r="A11" s="8" t="s">
        <v>215</v>
      </c>
      <c r="B11" s="22" t="s">
        <v>216</v>
      </c>
      <c r="C11" s="8" t="s">
        <v>115</v>
      </c>
      <c r="D11" s="25" t="n">
        <f aca="false">18360/1000000*Assumptions!$B$7+2000/1000000*Assumptions!$B$8</f>
        <v>0.02836</v>
      </c>
      <c r="E11" s="25" t="n">
        <f aca="false">(Assumptions!$B$18+300+2000)/1000000*Assumptions!$B$11+Assumptions!$B$19/1000000*Assumptions!$B$12</f>
        <v>0.000572</v>
      </c>
      <c r="F11" s="25" t="n">
        <f aca="false">D11+E11</f>
        <v>0.028932</v>
      </c>
      <c r="G11" s="28" t="n">
        <f aca="false">2*Assumptions!$B$33</f>
        <v>4</v>
      </c>
      <c r="H11" s="28" t="n">
        <f aca="false">G11*(1-Assumptions!$B$34)</f>
        <v>3.77288</v>
      </c>
      <c r="I11" s="27" t="n">
        <f aca="false">F11/H11</f>
        <v>0.00766841245944743</v>
      </c>
      <c r="J11" s="50" t="n">
        <f aca="false">Assumptions!$B$35</f>
        <v>0.1</v>
      </c>
      <c r="K11" s="22" t="str">
        <f aca="false">IF(I11&lt;=J11,"OK","BREACH")</f>
        <v>OK</v>
      </c>
    </row>
    <row r="13" customFormat="false" ht="15" hidden="false" customHeight="true" outlineLevel="0" collapsed="false">
      <c r="A13" s="3" t="s">
        <v>217</v>
      </c>
    </row>
    <row r="14" customFormat="false" ht="15" hidden="false" customHeight="true" outlineLevel="0" collapsed="false">
      <c r="A14" s="3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44"/>
    <col collapsed="false" customWidth="true" hidden="false" outlineLevel="0" max="5" min="5" style="1" width="18"/>
    <col collapsed="false" customWidth="true" hidden="false" outlineLevel="0" max="6" min="6" style="1" width="13"/>
  </cols>
  <sheetData>
    <row r="1" customFormat="false" ht="17.25" hidden="false" customHeight="true" outlineLevel="0" collapsed="false">
      <c r="A1" s="2" t="s">
        <v>219</v>
      </c>
    </row>
    <row r="2" customFormat="false" ht="15" hidden="false" customHeight="true" outlineLevel="0" collapsed="false">
      <c r="A2" s="3" t="s">
        <v>220</v>
      </c>
    </row>
    <row r="5" customFormat="false" ht="23.25" hidden="false" customHeight="true" outlineLevel="0" collapsed="false">
      <c r="A5" s="4" t="s">
        <v>96</v>
      </c>
      <c r="B5" s="4" t="s">
        <v>221</v>
      </c>
      <c r="C5" s="4" t="s">
        <v>222</v>
      </c>
      <c r="D5" s="4" t="s">
        <v>223</v>
      </c>
      <c r="E5" s="4" t="s">
        <v>224</v>
      </c>
      <c r="F5" s="4" t="s">
        <v>225</v>
      </c>
    </row>
    <row r="6" customFormat="false" ht="15" hidden="false" customHeight="true" outlineLevel="0" collapsed="false">
      <c r="A6" s="22" t="s">
        <v>183</v>
      </c>
      <c r="B6" s="28" t="n">
        <f aca="false">'Annual Impact'!F7</f>
        <v>10.85975856</v>
      </c>
      <c r="C6" s="28" t="n">
        <f aca="false">Assumptions!$B$33*(1-Assumptions!$B$34)</f>
        <v>1.88644</v>
      </c>
      <c r="D6" s="10" t="s">
        <v>226</v>
      </c>
      <c r="E6" s="51" t="n">
        <f aca="false">IFERROR(B6/C6,0)</f>
        <v>5.7567473972138</v>
      </c>
      <c r="F6" s="52" t="n">
        <f aca="false">IFERROR(E6/'Annual Impact'!C7,0)</f>
        <v>0.000293250779245563</v>
      </c>
    </row>
    <row r="7" customFormat="false" ht="15" hidden="false" customHeight="true" outlineLevel="0" collapsed="false">
      <c r="A7" s="22" t="s">
        <v>182</v>
      </c>
      <c r="B7" s="28" t="n">
        <f aca="false">'Annual Impact'!F6</f>
        <v>4.621028</v>
      </c>
      <c r="C7" s="28" t="n">
        <f aca="false">Assumptions!$B$33*(1-Assumptions!$B$34)</f>
        <v>1.88644</v>
      </c>
      <c r="D7" s="10" t="s">
        <v>227</v>
      </c>
      <c r="E7" s="51" t="n">
        <f aca="false">IFERROR(B7/C7,0)</f>
        <v>2.44960242573313</v>
      </c>
      <c r="F7" s="52" t="n">
        <f aca="false">IFERROR(E7/'Annual Impact'!C6,0)</f>
        <v>0.000314454740145459</v>
      </c>
    </row>
    <row r="8" customFormat="false" ht="15" hidden="false" customHeight="true" outlineLevel="0" collapsed="false">
      <c r="A8" s="22" t="s">
        <v>185</v>
      </c>
      <c r="B8" s="28" t="n">
        <f aca="false">'Annual Impact'!F10</f>
        <v>3.64572</v>
      </c>
      <c r="C8" s="28" t="n">
        <f aca="false">Assumptions!$B$33*(1-Assumptions!$B$34)</f>
        <v>1.88644</v>
      </c>
      <c r="D8" s="10" t="s">
        <v>228</v>
      </c>
      <c r="E8" s="51" t="n">
        <f aca="false">IFERROR(B8/C8,0)</f>
        <v>1.93259260829923</v>
      </c>
      <c r="F8" s="52" t="n">
        <f aca="false">IFERROR(E8/'Annual Impact'!C10,0)</f>
        <v>0.00016539089501919</v>
      </c>
    </row>
    <row r="11" customFormat="false" ht="15" hidden="false" customHeight="true" outlineLevel="0" collapsed="false">
      <c r="A11" s="3" t="s">
        <v>229</v>
      </c>
    </row>
    <row r="12" customFormat="false" ht="15" hidden="false" customHeight="true" outlineLevel="0" collapsed="false">
      <c r="A12" s="3" t="s">
        <v>230</v>
      </c>
    </row>
    <row r="13" customFormat="false" ht="15" hidden="false" customHeight="true" outlineLevel="0" collapsed="false">
      <c r="A13" s="3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30"/>
    <col collapsed="false" customWidth="true" hidden="false" outlineLevel="0" max="4" min="4" style="1" width="40"/>
    <col collapsed="false" customWidth="true" hidden="false" outlineLevel="0" max="5" min="5" style="1" width="44"/>
  </cols>
  <sheetData>
    <row r="1" customFormat="false" ht="17.25" hidden="false" customHeight="true" outlineLevel="0" collapsed="false">
      <c r="A1" s="2" t="s">
        <v>232</v>
      </c>
    </row>
    <row r="2" customFormat="false" ht="15" hidden="false" customHeight="true" outlineLevel="0" collapsed="false">
      <c r="A2" s="3" t="s">
        <v>233</v>
      </c>
    </row>
    <row r="5" customFormat="false" ht="15" hidden="false" customHeight="true" outlineLevel="0" collapsed="false">
      <c r="A5" s="4" t="s">
        <v>234</v>
      </c>
      <c r="B5" s="4" t="s">
        <v>235</v>
      </c>
      <c r="C5" s="4" t="s">
        <v>236</v>
      </c>
      <c r="D5" s="4" t="s">
        <v>237</v>
      </c>
      <c r="E5" s="4" t="s">
        <v>238</v>
      </c>
    </row>
    <row r="6" customFormat="false" ht="78" hidden="false" customHeight="true" outlineLevel="0" collapsed="false">
      <c r="A6" s="53" t="n">
        <v>1</v>
      </c>
      <c r="B6" s="54" t="s">
        <v>239</v>
      </c>
      <c r="C6" s="54" t="s">
        <v>240</v>
      </c>
      <c r="D6" s="54" t="s">
        <v>241</v>
      </c>
      <c r="E6" s="54" t="s">
        <v>242</v>
      </c>
    </row>
    <row r="7" customFormat="false" ht="78" hidden="false" customHeight="true" outlineLevel="0" collapsed="false">
      <c r="A7" s="53" t="n">
        <v>2</v>
      </c>
      <c r="B7" s="54" t="s">
        <v>243</v>
      </c>
      <c r="C7" s="54" t="s">
        <v>244</v>
      </c>
      <c r="D7" s="54" t="s">
        <v>245</v>
      </c>
      <c r="E7" s="54" t="s">
        <v>246</v>
      </c>
    </row>
    <row r="8" customFormat="false" ht="78" hidden="false" customHeight="true" outlineLevel="0" collapsed="false">
      <c r="A8" s="53" t="n">
        <v>3</v>
      </c>
      <c r="B8" s="54" t="s">
        <v>247</v>
      </c>
      <c r="C8" s="54" t="s">
        <v>248</v>
      </c>
      <c r="D8" s="54" t="s">
        <v>249</v>
      </c>
      <c r="E8" s="54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2026-08-14T12:41:09Z</dcterms:created>
  <dc:creator>openpyxl</dc:creator>
  <dc:description/>
  <dc:language>en-US</dc:language>
  <cp:lastModifiedBy/>
  <dcterms:modified xsi:type="dcterms:W3CDTF">2026-08-14T18:01:47Z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