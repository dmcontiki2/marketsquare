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 Model (live)" sheetId="2" state="visible" r:id="rId4"/>
    <sheet name="Monte Carlo &amp; Swee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5" authorId="0">
      <text>
        <r>
          <rPr>
            <sz val="10"/>
            <rFont val="Arial"/>
            <family val="2"/>
          </rPr>
          <t xml:space="preserve">Source: Anthropic API pricing, Jun 2026</t>
        </r>
      </text>
    </comment>
    <comment ref="B13" authorId="0">
      <text>
        <r>
          <rPr>
            <sz val="10"/>
            <rFont val="Arial"/>
            <family val="2"/>
          </rPr>
          <t xml:space="preserve">Not yet contracted — swept $0-$5. This dominates the leak.</t>
        </r>
      </text>
    </comment>
    <comment ref="B24" authorId="0">
      <text>
        <r>
          <rPr>
            <sz val="10"/>
            <rFont val="Arial"/>
            <family val="2"/>
          </rPr>
          <t xml:space="preserve">Set m to match your Flows-50 grant. Cost scales ~linearly with m in the no-rollover case.</t>
        </r>
      </text>
    </comment>
  </commentList>
</comments>
</file>

<file path=xl/sharedStrings.xml><?xml version="1.0" encoding="utf-8"?>
<sst xmlns="http://schemas.openxmlformats.org/spreadsheetml/2006/main" count="112" uniqueCount="100">
  <si>
    <t xml:space="preserve">MarketSquare — Free-Tier AI (5T) Cost Risk Model</t>
  </si>
  <si>
    <t xml:space="preserve">Blue = input you can change · Yellow = key lever · Green = calibrated from the Monte Carlo sim</t>
  </si>
  <si>
    <t xml:space="preserve">ANTHROPIC API PRICING  ($/Mtok)</t>
  </si>
  <si>
    <t xml:space="preserve">Sonnet 4.6 — input</t>
  </si>
  <si>
    <t xml:space="preserve">Verified Jun 2026 · platform.claude.com</t>
  </si>
  <si>
    <t xml:space="preserve">Sonnet 4.6 — output</t>
  </si>
  <si>
    <t xml:space="preserve">Verified Jun 2026 · 5x input</t>
  </si>
  <si>
    <t xml:space="preserve">Haiku 4.5 — input</t>
  </si>
  <si>
    <t xml:space="preserve">Matches existing Cost_Breakdown sheet</t>
  </si>
  <si>
    <t xml:space="preserve">Haiku 4.5 — output</t>
  </si>
  <si>
    <t xml:space="preserve">5T FUNCTION  (the expensive class: Sonnet + a paid data feed)</t>
  </si>
  <si>
    <t xml:space="preserve">Sonnet input tokens / 5T call</t>
  </si>
  <si>
    <t xml:space="preserve">heavy: long context + grounding</t>
  </si>
  <si>
    <t xml:space="preserve">Sonnet output tokens / 5T call</t>
  </si>
  <si>
    <t xml:space="preserve">Sonnet compute cost / 5T run</t>
  </si>
  <si>
    <t xml:space="preserve">formula · Sonnet portion only</t>
  </si>
  <si>
    <t xml:space="preserve">Paid data-feed / subscription cost / 5T run</t>
  </si>
  <si>
    <t xml:space="preserve">KEY LEVER — contracted feeds (Lightstone/ATTOM/PropertyData). Swept on the sweep sheet.</t>
  </si>
  <si>
    <t xml:space="preserve">COST TO PLATFORM / 5T run</t>
  </si>
  <si>
    <t xml:space="preserve">formula · Sonnet compute + paid feed</t>
  </si>
  <si>
    <t xml:space="preserve">Tuppence value ($)</t>
  </si>
  <si>
    <t xml:space="preserve">Fixed · 1T = $2 (Solar Council master index)</t>
  </si>
  <si>
    <t xml:space="preserve">User charge for a 5T run (Tuppence)</t>
  </si>
  <si>
    <t xml:space="preserve">recouped ONLY if paid with bought Tuppence</t>
  </si>
  <si>
    <t xml:space="preserve">User charge for a 5T run ($)</t>
  </si>
  <si>
    <t xml:space="preserve">5T run charges the user 5T = $10 · margin exists only when the user actually pays</t>
  </si>
  <si>
    <t xml:space="preserve">2T FUNCTION  (the cheap class: Haiku / free-owned data)</t>
  </si>
  <si>
    <t xml:space="preserve">Cost to platform / 2T run</t>
  </si>
  <si>
    <t xml:space="preserve">~Haiku · negligible vs 5T</t>
  </si>
  <si>
    <t xml:space="preserve">FREE-TIER BEHAVIOUR</t>
  </si>
  <si>
    <t xml:space="preserve">P(free user uses AI in a month)</t>
  </si>
  <si>
    <t xml:space="preserve">KEY LEVER · ~Yr1 seller adoption (0.08 launch -&gt; 0.35 mature)</t>
  </si>
  <si>
    <t xml:space="preserve">Mean desired 5T runs / active user / mo</t>
  </si>
  <si>
    <t xml:space="preserve">intent before any cap</t>
  </si>
  <si>
    <t xml:space="preserve">Demand overdispersion (NB shape r)</t>
  </si>
  <si>
    <t xml:space="preserve">low r = heavy tail; a few power users want 10-20</t>
  </si>
  <si>
    <t xml:space="preserve">Free 5T runs fundable from grant (m)</t>
  </si>
  <si>
    <t xml:space="preserve">KEY LEVER · the Flows-50 monthly allowance, in 5T-run units</t>
  </si>
  <si>
    <t xml:space="preserve">Accumulation horizon (months)</t>
  </si>
  <si>
    <t xml:space="preserve">rollover only — how long unused grant banks</t>
  </si>
  <si>
    <t xml:space="preserve">POPULATIONS  (free-tier users)</t>
  </si>
  <si>
    <t xml:space="preserve">Free users — near-term unit</t>
  </si>
  <si>
    <t xml:space="preserve">David's worry unit</t>
  </si>
  <si>
    <t xml:space="preserve">Free users — Year-1 scale</t>
  </si>
  <si>
    <t xml:space="preserve">~0.65 x 7,790 free sellers (Cost_Breakdown Yr1)</t>
  </si>
  <si>
    <t xml:space="preserve">CALIBRATED FROM MONTE CARLO  (per-user served 5T runs / month)</t>
  </si>
  <si>
    <t xml:space="preserve">S0 status-quo + rollover — served rate</t>
  </si>
  <si>
    <t xml:space="preserve">from 20k-trial sim (seed 42)</t>
  </si>
  <si>
    <t xml:space="preserve">S1 no-rollover cap — served rate</t>
  </si>
  <si>
    <t xml:space="preserve">rollover serves more (banks light months); cap blocks bursts</t>
  </si>
  <si>
    <t xml:space="preserve">Live Scenario Calculator — expected monthly un-recouped 5T cost</t>
  </si>
  <si>
    <t xml:space="preserve">Driven by the Assumptions sheet. Change any blue/yellow input and these update.</t>
  </si>
  <si>
    <t xml:space="preserve">Scenario</t>
  </si>
  <si>
    <t xml:space="preserve">Monthly leak — 250</t>
  </si>
  <si>
    <t xml:space="preserve">Monthly leak — 5,000</t>
  </si>
  <si>
    <t xml:space="preserve">Annual — 5,000</t>
  </si>
  <si>
    <t xml:space="preserve">What it does</t>
  </si>
  <si>
    <t xml:space="preserve">S0  Status-quo + rollover (the leak)</t>
  </si>
  <si>
    <t xml:space="preserve">Free Tuppence accumulates over months, then funds a 5T burst. Baseline.</t>
  </si>
  <si>
    <t xml:space="preserve">S1  No-rollover cap (Flows-50)</t>
  </si>
  <si>
    <t xml:space="preserve">Monthly reset, no banking. Hard-caps each user at m x cost/5T.</t>
  </si>
  <si>
    <t xml:space="preserve">S2  Hide all AI from free</t>
  </si>
  <si>
    <t xml:space="preserve">Free users get no AI. 5T leak = $0 (see funnel trade-off).</t>
  </si>
  <si>
    <t xml:space="preserve">S3  Tier-gate $5-&gt;2T, $20-&gt;5T</t>
  </si>
  <si>
    <t xml:space="preserve">Free + Starter blocked from 5T; only paying Pro fires 5T. Leak = $0, keeps cheap AI for the funnel.</t>
  </si>
  <si>
    <t xml:space="preserve">Saving vs status-quo (5,000, annual)</t>
  </si>
  <si>
    <t xml:space="preserve">S1 vs S0. S2/S3 save the full S0 amount.</t>
  </si>
  <si>
    <t xml:space="preserve">Monte Carlo results &amp; sensitivity</t>
  </si>
  <si>
    <t xml:space="preserve">20,000-trial bootstrap, seed 42 · central paid feed $2/run -&gt; cost/5T $2.062 · figures are simulation outputs</t>
  </si>
  <si>
    <t xml:space="preserve">Monthly un-recouped 5T cost — distribution</t>
  </si>
  <si>
    <t xml:space="preserve">N = 250 free users (near-term)</t>
  </si>
  <si>
    <t xml:space="preserve">Mean</t>
  </si>
  <si>
    <t xml:space="preserve">1 sigma</t>
  </si>
  <si>
    <t xml:space="preserve">Mean+2s (95%)</t>
  </si>
  <si>
    <t xml:space="preserve">P95</t>
  </si>
  <si>
    <t xml:space="preserve">P99</t>
  </si>
  <si>
    <t xml:space="preserve">S0 Status-quo + rollover</t>
  </si>
  <si>
    <t xml:space="preserve">S1 No-rollover cap</t>
  </si>
  <si>
    <t xml:space="preserve">S2 Hide AI from free</t>
  </si>
  <si>
    <t xml:space="preserve">S3 Tier-gate $5/$20</t>
  </si>
  <si>
    <t xml:space="preserve">N = 5,000 free users (Year-1 scale)</t>
  </si>
  <si>
    <t xml:space="preserve">Paid-feed sweep — monthly leak at N = 5,000</t>
  </si>
  <si>
    <t xml:space="preserve">Paid feed $/5T</t>
  </si>
  <si>
    <t xml:space="preserve">S0 mean</t>
  </si>
  <si>
    <t xml:space="preserve">S0 P95</t>
  </si>
  <si>
    <t xml:space="preserve">S1 mean</t>
  </si>
  <si>
    <t xml:space="preserve">S1 P95</t>
  </si>
  <si>
    <t xml:space="preserve">S2/S3</t>
  </si>
  <si>
    <t xml:space="preserve">David worst-case*</t>
  </si>
  <si>
    <t xml:space="preserve">*David worst-case = 250 users x 12 accumulated runs in one month (correlated burst).</t>
  </si>
  <si>
    <t xml:space="preserve">Funnel trade-off — cost of HIDING AI from free (S2)</t>
  </si>
  <si>
    <t xml:space="preserve">Blended new-paid price ($)</t>
  </si>
  <si>
    <t xml:space="preserve">Starter $5 (75.8%) + Pro $20 (24.2%)</t>
  </si>
  <si>
    <t xml:space="preserve">Conversion drop</t>
  </si>
  <si>
    <t xml:space="preserve">Lost subs/mo — 250</t>
  </si>
  <si>
    <t xml:space="preserve">Lost subs/mo — 5,000</t>
  </si>
  <si>
    <t xml:space="preserve">-0.5 pp</t>
  </si>
  <si>
    <t xml:space="preserve">-1.0 pp</t>
  </si>
  <si>
    <t xml:space="preserve">-2.0 pp</t>
  </si>
  <si>
    <t xml:space="preserve">Tier-gate (S3) gets the same ~$0 leak as Hide (S2) WITHOUT this funnel cost — it keeps 0T/1T for free users.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</si>
</sst>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"/>
    <numFmt numFmtId="167" formatCode="#,##0.00"/>
    <numFmt numFmtId="168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3A5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9"/>
      <color rgb="FF1E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2B2"/>
        <bgColor rgb="FFFBE9E7"/>
      </patternFill>
    </fill>
    <fill>
      <patternFill patternType="solid">
        <fgColor rgb="FFEEF3F8"/>
        <bgColor rgb="FFE7F6EE"/>
      </patternFill>
    </fill>
    <fill>
      <patternFill patternType="solid">
        <fgColor rgb="FFE7F6EE"/>
        <bgColor rgb="FFEEF3F8"/>
      </patternFill>
    </fill>
    <fill>
      <patternFill patternType="solid">
        <fgColor rgb="FFFBE9E7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E7"/>
      <rgbColor rgb="FFE7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6</xdr:col>
      <xdr:colOff>161280</xdr:colOff>
      <xdr:row>54</xdr:row>
      <xdr:rowOff>46800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7734240"/>
          <a:ext cx="6857280" cy="2714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6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3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15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1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5</v>
      </c>
      <c r="C8" s="8" t="s">
        <v>8</v>
      </c>
    </row>
    <row r="9" customFormat="false" ht="15" hidden="false" customHeight="true" outlineLevel="0" collapsed="false">
      <c r="A9" s="4" t="s">
        <v>10</v>
      </c>
      <c r="B9" s="5"/>
      <c r="C9" s="5"/>
    </row>
    <row r="10" customFormat="false" ht="15" hidden="false" customHeight="true" outlineLevel="0" collapsed="false">
      <c r="A10" s="6" t="s">
        <v>11</v>
      </c>
      <c r="B10" s="9" t="n">
        <v>8000</v>
      </c>
      <c r="C10" s="8" t="s">
        <v>12</v>
      </c>
    </row>
    <row r="11" customFormat="false" ht="15" hidden="false" customHeight="true" outlineLevel="0" collapsed="false">
      <c r="A11" s="6" t="s">
        <v>13</v>
      </c>
      <c r="B11" s="9" t="n">
        <v>2500</v>
      </c>
      <c r="C11" s="8"/>
    </row>
    <row r="12" customFormat="false" ht="15" hidden="false" customHeight="true" outlineLevel="0" collapsed="false">
      <c r="A12" s="6" t="s">
        <v>14</v>
      </c>
      <c r="B12" s="10" t="n">
        <f aca="false">(B10/1000000*B5+B11/1000000*B6)</f>
        <v>0.0615</v>
      </c>
      <c r="C12" s="8" t="s">
        <v>15</v>
      </c>
    </row>
    <row r="13" customFormat="false" ht="15" hidden="false" customHeight="true" outlineLevel="0" collapsed="false">
      <c r="A13" s="6" t="s">
        <v>16</v>
      </c>
      <c r="B13" s="11" t="n">
        <v>2</v>
      </c>
      <c r="C13" s="8" t="s">
        <v>17</v>
      </c>
    </row>
    <row r="14" customFormat="false" ht="15" hidden="false" customHeight="true" outlineLevel="0" collapsed="false">
      <c r="A14" s="12" t="s">
        <v>18</v>
      </c>
      <c r="B14" s="13" t="n">
        <f aca="false">B12+B13</f>
        <v>2.0615</v>
      </c>
      <c r="C14" s="8" t="s">
        <v>19</v>
      </c>
    </row>
    <row r="15" customFormat="false" ht="15" hidden="false" customHeight="true" outlineLevel="0" collapsed="false">
      <c r="A15" s="6" t="s">
        <v>20</v>
      </c>
      <c r="B15" s="7" t="n">
        <v>2</v>
      </c>
      <c r="C15" s="8" t="s">
        <v>21</v>
      </c>
    </row>
    <row r="16" customFormat="false" ht="15" hidden="false" customHeight="true" outlineLevel="0" collapsed="false">
      <c r="A16" s="6" t="s">
        <v>22</v>
      </c>
      <c r="B16" s="9" t="n">
        <v>5</v>
      </c>
      <c r="C16" s="8" t="s">
        <v>23</v>
      </c>
    </row>
    <row r="17" customFormat="false" ht="15" hidden="false" customHeight="true" outlineLevel="0" collapsed="false">
      <c r="A17" s="6" t="s">
        <v>24</v>
      </c>
      <c r="B17" s="10" t="n">
        <f aca="false">B16*B15</f>
        <v>10</v>
      </c>
      <c r="C17" s="8" t="s">
        <v>25</v>
      </c>
    </row>
    <row r="18" customFormat="false" ht="15" hidden="false" customHeight="true" outlineLevel="0" collapsed="false">
      <c r="A18" s="4" t="s">
        <v>26</v>
      </c>
      <c r="B18" s="5"/>
      <c r="C18" s="5"/>
    </row>
    <row r="19" customFormat="false" ht="15" hidden="false" customHeight="true" outlineLevel="0" collapsed="false">
      <c r="A19" s="6" t="s">
        <v>27</v>
      </c>
      <c r="B19" s="7" t="n">
        <v>0.01</v>
      </c>
      <c r="C19" s="8" t="s">
        <v>28</v>
      </c>
    </row>
    <row r="20" customFormat="false" ht="15" hidden="false" customHeight="true" outlineLevel="0" collapsed="false">
      <c r="A20" s="4" t="s">
        <v>29</v>
      </c>
      <c r="B20" s="5"/>
      <c r="C20" s="5"/>
    </row>
    <row r="21" customFormat="false" ht="15" hidden="false" customHeight="true" outlineLevel="0" collapsed="false">
      <c r="A21" s="6" t="s">
        <v>30</v>
      </c>
      <c r="B21" s="14" t="n">
        <v>0.14</v>
      </c>
      <c r="C21" s="8" t="s">
        <v>31</v>
      </c>
    </row>
    <row r="22" customFormat="false" ht="15" hidden="false" customHeight="true" outlineLevel="0" collapsed="false">
      <c r="A22" s="6" t="s">
        <v>32</v>
      </c>
      <c r="B22" s="9" t="n">
        <v>2.5</v>
      </c>
      <c r="C22" s="8" t="s">
        <v>33</v>
      </c>
    </row>
    <row r="23" customFormat="false" ht="15" hidden="false" customHeight="true" outlineLevel="0" collapsed="false">
      <c r="A23" s="6" t="s">
        <v>34</v>
      </c>
      <c r="B23" s="9" t="n">
        <v>0.5</v>
      </c>
      <c r="C23" s="8" t="s">
        <v>35</v>
      </c>
    </row>
    <row r="24" customFormat="false" ht="15" hidden="false" customHeight="true" outlineLevel="0" collapsed="false">
      <c r="A24" s="6" t="s">
        <v>36</v>
      </c>
      <c r="B24" s="15" t="n">
        <v>3</v>
      </c>
      <c r="C24" s="8" t="s">
        <v>37</v>
      </c>
    </row>
    <row r="25" customFormat="false" ht="15" hidden="false" customHeight="true" outlineLevel="0" collapsed="false">
      <c r="A25" s="6" t="s">
        <v>38</v>
      </c>
      <c r="B25" s="9" t="n">
        <v>12</v>
      </c>
      <c r="C25" s="8" t="s">
        <v>39</v>
      </c>
    </row>
    <row r="26" customFormat="false" ht="15" hidden="false" customHeight="true" outlineLevel="0" collapsed="false">
      <c r="A26" s="4" t="s">
        <v>40</v>
      </c>
      <c r="B26" s="5"/>
      <c r="C26" s="5"/>
    </row>
    <row r="27" customFormat="false" ht="15" hidden="false" customHeight="true" outlineLevel="0" collapsed="false">
      <c r="A27" s="6" t="s">
        <v>41</v>
      </c>
      <c r="B27" s="9" t="n">
        <v>250</v>
      </c>
      <c r="C27" s="8" t="s">
        <v>42</v>
      </c>
    </row>
    <row r="28" customFormat="false" ht="15" hidden="false" customHeight="true" outlineLevel="0" collapsed="false">
      <c r="A28" s="6" t="s">
        <v>43</v>
      </c>
      <c r="B28" s="9" t="n">
        <v>5000</v>
      </c>
      <c r="C28" s="8" t="s">
        <v>44</v>
      </c>
    </row>
    <row r="29" customFormat="false" ht="15" hidden="false" customHeight="true" outlineLevel="0" collapsed="false">
      <c r="A29" s="4" t="s">
        <v>45</v>
      </c>
      <c r="B29" s="5"/>
      <c r="C29" s="5"/>
    </row>
    <row r="30" customFormat="false" ht="15" hidden="false" customHeight="true" outlineLevel="0" collapsed="false">
      <c r="A30" s="6" t="s">
        <v>46</v>
      </c>
      <c r="B30" s="16" t="n">
        <v>0.3166</v>
      </c>
      <c r="C30" s="8" t="s">
        <v>47</v>
      </c>
    </row>
    <row r="31" customFormat="false" ht="15" hidden="false" customHeight="true" outlineLevel="0" collapsed="false">
      <c r="A31" s="6" t="s">
        <v>48</v>
      </c>
      <c r="B31" s="16" t="n">
        <v>0.1856</v>
      </c>
      <c r="C31" s="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51</v>
      </c>
    </row>
    <row r="4" customFormat="false" ht="23.25" hidden="false" customHeight="true" outlineLevel="0" collapsed="false">
      <c r="A4" s="17" t="s">
        <v>52</v>
      </c>
      <c r="B4" s="17" t="s">
        <v>53</v>
      </c>
      <c r="C4" s="17" t="s">
        <v>54</v>
      </c>
      <c r="D4" s="17" t="s">
        <v>55</v>
      </c>
      <c r="E4" s="17" t="s">
        <v>56</v>
      </c>
    </row>
    <row r="5" customFormat="false" ht="21.75" hidden="false" customHeight="true" outlineLevel="0" collapsed="false">
      <c r="A5" s="18" t="s">
        <v>57</v>
      </c>
      <c r="B5" s="19" t="n">
        <f aca="false">Assumptions!B27*Assumptions!B30*Assumptions!B14</f>
        <v>163.167725</v>
      </c>
      <c r="C5" s="19" t="n">
        <f aca="false">Assumptions!B28*Assumptions!B30*Assumptions!B14</f>
        <v>3263.3545</v>
      </c>
      <c r="D5" s="19" t="n">
        <f aca="false">C5*12</f>
        <v>39160.254</v>
      </c>
      <c r="E5" s="20" t="s">
        <v>58</v>
      </c>
    </row>
    <row r="6" customFormat="false" ht="21.75" hidden="false" customHeight="true" outlineLevel="0" collapsed="false">
      <c r="A6" s="21" t="s">
        <v>59</v>
      </c>
      <c r="B6" s="22" t="n">
        <f aca="false">Assumptions!B27*Assumptions!B31*Assumptions!B14</f>
        <v>95.6536</v>
      </c>
      <c r="C6" s="22" t="n">
        <f aca="false">Assumptions!B28*Assumptions!B31*Assumptions!B14</f>
        <v>1913.072</v>
      </c>
      <c r="D6" s="22" t="n">
        <f aca="false">C6*12</f>
        <v>22956.864</v>
      </c>
      <c r="E6" s="23" t="s">
        <v>60</v>
      </c>
    </row>
    <row r="7" customFormat="false" ht="21.75" hidden="false" customHeight="true" outlineLevel="0" collapsed="false">
      <c r="A7" s="24" t="s">
        <v>61</v>
      </c>
      <c r="B7" s="19" t="n">
        <v>0</v>
      </c>
      <c r="C7" s="19" t="n">
        <v>0</v>
      </c>
      <c r="D7" s="19" t="n">
        <v>0</v>
      </c>
      <c r="E7" s="20" t="s">
        <v>62</v>
      </c>
    </row>
    <row r="8" customFormat="false" ht="21.75" hidden="false" customHeight="true" outlineLevel="0" collapsed="false">
      <c r="A8" s="21" t="s">
        <v>63</v>
      </c>
      <c r="B8" s="22" t="n">
        <v>0</v>
      </c>
      <c r="C8" s="22" t="n">
        <v>0</v>
      </c>
      <c r="D8" s="22" t="n">
        <v>0</v>
      </c>
      <c r="E8" s="23" t="s">
        <v>64</v>
      </c>
    </row>
    <row r="10" customFormat="false" ht="15" hidden="false" customHeight="true" outlineLevel="0" collapsed="false">
      <c r="A10" s="12" t="s">
        <v>65</v>
      </c>
      <c r="D10" s="25" t="n">
        <f aca="false">D5-D6</f>
        <v>16203.39</v>
      </c>
      <c r="E10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5.75" hidden="false" customHeight="true" outlineLevel="0" collapsed="false">
      <c r="A1" s="2" t="s">
        <v>67</v>
      </c>
    </row>
    <row r="2" customFormat="false" ht="15" hidden="false" customHeight="true" outlineLevel="0" collapsed="false">
      <c r="A2" s="3" t="s">
        <v>68</v>
      </c>
    </row>
    <row r="4" customFormat="false" ht="15" hidden="false" customHeight="true" outlineLevel="0" collapsed="false">
      <c r="A4" s="12" t="s">
        <v>69</v>
      </c>
    </row>
    <row r="5" customFormat="false" ht="15" hidden="false" customHeight="true" outlineLevel="0" collapsed="false">
      <c r="A5" s="12" t="s">
        <v>70</v>
      </c>
    </row>
    <row r="6" customFormat="false" ht="15" hidden="false" customHeight="true" outlineLevel="0" collapsed="false">
      <c r="A6" s="4" t="s">
        <v>52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</row>
    <row r="7" customFormat="false" ht="15" hidden="false" customHeight="true" outlineLevel="0" collapsed="false">
      <c r="A7" s="26" t="s">
        <v>76</v>
      </c>
      <c r="B7" s="27" t="n">
        <v>163.11</v>
      </c>
      <c r="C7" s="27" t="n">
        <v>13.55</v>
      </c>
      <c r="D7" s="27" t="n">
        <v>190.2</v>
      </c>
      <c r="E7" s="27" t="n">
        <v>185.71</v>
      </c>
      <c r="F7" s="27" t="n">
        <v>195.33</v>
      </c>
    </row>
    <row r="8" customFormat="false" ht="15" hidden="false" customHeight="true" outlineLevel="0" collapsed="false">
      <c r="A8" s="28" t="s">
        <v>77</v>
      </c>
      <c r="B8" s="19" t="n">
        <v>95.61</v>
      </c>
      <c r="C8" s="19" t="n">
        <v>6.23</v>
      </c>
      <c r="D8" s="19" t="n">
        <v>108.06</v>
      </c>
      <c r="E8" s="19" t="n">
        <v>106</v>
      </c>
      <c r="F8" s="19" t="n">
        <v>110.29</v>
      </c>
    </row>
    <row r="9" customFormat="false" ht="15" hidden="false" customHeight="true" outlineLevel="0" collapsed="false">
      <c r="A9" s="28" t="s">
        <v>78</v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0</v>
      </c>
    </row>
    <row r="10" customFormat="false" ht="15" hidden="false" customHeight="true" outlineLevel="0" collapsed="false">
      <c r="A10" s="28" t="s">
        <v>79</v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</row>
    <row r="12" customFormat="false" ht="15" hidden="false" customHeight="true" outlineLevel="0" collapsed="false">
      <c r="A12" s="12" t="s">
        <v>80</v>
      </c>
    </row>
    <row r="13" customFormat="false" ht="15" hidden="false" customHeight="true" outlineLevel="0" collapsed="false">
      <c r="A13" s="4" t="s">
        <v>52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75</v>
      </c>
    </row>
    <row r="14" customFormat="false" ht="15" hidden="false" customHeight="true" outlineLevel="0" collapsed="false">
      <c r="A14" s="26" t="s">
        <v>76</v>
      </c>
      <c r="B14" s="27" t="n">
        <v>3263.84</v>
      </c>
      <c r="C14" s="27" t="n">
        <v>61.04</v>
      </c>
      <c r="D14" s="27" t="n">
        <v>3385.92</v>
      </c>
      <c r="E14" s="27" t="n">
        <v>3365.06</v>
      </c>
      <c r="F14" s="27" t="n">
        <v>3407.32</v>
      </c>
    </row>
    <row r="15" customFormat="false" ht="15" hidden="false" customHeight="true" outlineLevel="0" collapsed="false">
      <c r="A15" s="28" t="s">
        <v>77</v>
      </c>
      <c r="B15" s="19" t="n">
        <v>1912.49</v>
      </c>
      <c r="C15" s="19" t="n">
        <v>27.88</v>
      </c>
      <c r="D15" s="19" t="n">
        <v>1968.24</v>
      </c>
      <c r="E15" s="19" t="n">
        <v>1958.77</v>
      </c>
      <c r="F15" s="19" t="n">
        <v>1977.67</v>
      </c>
    </row>
    <row r="16" customFormat="false" ht="15" hidden="false" customHeight="true" outlineLevel="0" collapsed="false">
      <c r="A16" s="28" t="s">
        <v>78</v>
      </c>
      <c r="B16" s="19" t="n">
        <v>0</v>
      </c>
      <c r="C16" s="19" t="n">
        <v>0</v>
      </c>
      <c r="D16" s="19" t="n">
        <v>0</v>
      </c>
      <c r="E16" s="19" t="n">
        <v>0</v>
      </c>
      <c r="F16" s="19" t="n">
        <v>0</v>
      </c>
    </row>
    <row r="17" customFormat="false" ht="15" hidden="false" customHeight="true" outlineLevel="0" collapsed="false">
      <c r="A17" s="28" t="s">
        <v>79</v>
      </c>
      <c r="B17" s="19" t="n">
        <v>0</v>
      </c>
      <c r="C17" s="19" t="n">
        <v>0</v>
      </c>
      <c r="D17" s="19" t="n">
        <v>0</v>
      </c>
      <c r="E17" s="19" t="n">
        <v>0</v>
      </c>
      <c r="F17" s="19" t="n">
        <v>0</v>
      </c>
    </row>
    <row r="20" customFormat="false" ht="15" hidden="false" customHeight="true" outlineLevel="0" collapsed="false">
      <c r="A20" s="12" t="s">
        <v>81</v>
      </c>
    </row>
    <row r="21" customFormat="false" ht="23.25" hidden="false" customHeight="true" outlineLevel="0" collapsed="false">
      <c r="A21" s="29" t="s">
        <v>82</v>
      </c>
      <c r="B21" s="29" t="s">
        <v>83</v>
      </c>
      <c r="C21" s="29" t="s">
        <v>84</v>
      </c>
      <c r="D21" s="29" t="s">
        <v>85</v>
      </c>
      <c r="E21" s="29" t="s">
        <v>86</v>
      </c>
      <c r="F21" s="29" t="s">
        <v>87</v>
      </c>
      <c r="G21" s="29" t="s">
        <v>88</v>
      </c>
    </row>
    <row r="22" customFormat="false" ht="15" hidden="false" customHeight="true" outlineLevel="0" collapsed="false">
      <c r="A22" s="30" t="n">
        <v>0</v>
      </c>
      <c r="B22" s="19" t="n">
        <v>97.4</v>
      </c>
      <c r="C22" s="19" t="n">
        <v>100.38</v>
      </c>
      <c r="D22" s="19" t="n">
        <v>57.06</v>
      </c>
      <c r="E22" s="19" t="n">
        <v>58.43</v>
      </c>
      <c r="F22" s="19" t="n">
        <v>0</v>
      </c>
      <c r="G22" s="19" t="n">
        <v>184.5</v>
      </c>
    </row>
    <row r="23" customFormat="false" ht="15" hidden="false" customHeight="true" outlineLevel="0" collapsed="false">
      <c r="A23" s="30" t="n">
        <v>0.25</v>
      </c>
      <c r="B23" s="19" t="n">
        <v>493.15</v>
      </c>
      <c r="C23" s="19" t="n">
        <v>508.4</v>
      </c>
      <c r="D23" s="19" t="n">
        <v>288.97</v>
      </c>
      <c r="E23" s="19" t="n">
        <v>295.72</v>
      </c>
      <c r="F23" s="19" t="n">
        <v>0</v>
      </c>
      <c r="G23" s="19" t="n">
        <v>934.5</v>
      </c>
    </row>
    <row r="24" customFormat="false" ht="15" hidden="false" customHeight="true" outlineLevel="0" collapsed="false">
      <c r="A24" s="30" t="n">
        <v>0.5</v>
      </c>
      <c r="B24" s="19" t="n">
        <v>888.84</v>
      </c>
      <c r="C24" s="19" t="n">
        <v>916.79</v>
      </c>
      <c r="D24" s="19" t="n">
        <v>520.93</v>
      </c>
      <c r="E24" s="19" t="n">
        <v>533.66</v>
      </c>
      <c r="F24" s="19" t="n">
        <v>0</v>
      </c>
      <c r="G24" s="19" t="n">
        <v>1684.5</v>
      </c>
    </row>
    <row r="25" customFormat="false" ht="15" hidden="false" customHeight="true" outlineLevel="0" collapsed="false">
      <c r="A25" s="30" t="n">
        <v>1</v>
      </c>
      <c r="B25" s="19" t="n">
        <v>1680.64</v>
      </c>
      <c r="C25" s="19" t="n">
        <v>1730.69</v>
      </c>
      <c r="D25" s="19" t="n">
        <v>984.9</v>
      </c>
      <c r="E25" s="19" t="n">
        <v>1008.69</v>
      </c>
      <c r="F25" s="19" t="n">
        <v>0</v>
      </c>
      <c r="G25" s="19" t="n">
        <v>3184.5</v>
      </c>
    </row>
    <row r="26" customFormat="false" ht="15" hidden="false" customHeight="true" outlineLevel="0" collapsed="false">
      <c r="A26" s="30" t="n">
        <v>2</v>
      </c>
      <c r="B26" s="19" t="n">
        <v>3264.05</v>
      </c>
      <c r="C26" s="19" t="n">
        <v>3365.91</v>
      </c>
      <c r="D26" s="19" t="n">
        <v>1912.54</v>
      </c>
      <c r="E26" s="19" t="n">
        <v>1958.6</v>
      </c>
      <c r="F26" s="19" t="n">
        <v>0</v>
      </c>
      <c r="G26" s="19" t="n">
        <v>6184.5</v>
      </c>
    </row>
    <row r="27" customFormat="false" ht="15" hidden="false" customHeight="true" outlineLevel="0" collapsed="false">
      <c r="A27" s="30" t="n">
        <v>3</v>
      </c>
      <c r="B27" s="19" t="n">
        <v>4849.11</v>
      </c>
      <c r="C27" s="19" t="n">
        <v>4997.15</v>
      </c>
      <c r="D27" s="19" t="n">
        <v>2840.68</v>
      </c>
      <c r="E27" s="19" t="n">
        <v>2908.18</v>
      </c>
      <c r="F27" s="19" t="n">
        <v>0</v>
      </c>
      <c r="G27" s="19" t="n">
        <v>9184.5</v>
      </c>
    </row>
    <row r="28" customFormat="false" ht="15" hidden="false" customHeight="true" outlineLevel="0" collapsed="false">
      <c r="A28" s="30" t="n">
        <v>5</v>
      </c>
      <c r="B28" s="19" t="n">
        <v>8010.61</v>
      </c>
      <c r="C28" s="19" t="n">
        <v>8255.31</v>
      </c>
      <c r="D28" s="19" t="n">
        <v>4695.93</v>
      </c>
      <c r="E28" s="19" t="n">
        <v>4810.98</v>
      </c>
      <c r="F28" s="19" t="n">
        <v>0</v>
      </c>
      <c r="G28" s="19" t="n">
        <v>15184.5</v>
      </c>
    </row>
    <row r="29" customFormat="false" ht="15" hidden="false" customHeight="true" outlineLevel="0" collapsed="false">
      <c r="A29" s="8" t="s">
        <v>89</v>
      </c>
    </row>
    <row r="31" customFormat="false" ht="15" hidden="false" customHeight="true" outlineLevel="0" collapsed="false">
      <c r="A31" s="12" t="s">
        <v>90</v>
      </c>
    </row>
    <row r="32" customFormat="false" ht="15" hidden="false" customHeight="true" outlineLevel="0" collapsed="false">
      <c r="A32" s="6" t="s">
        <v>91</v>
      </c>
      <c r="B32" s="7" t="n">
        <v>8.64</v>
      </c>
      <c r="C32" s="8" t="s">
        <v>92</v>
      </c>
    </row>
    <row r="33" customFormat="false" ht="15" hidden="false" customHeight="true" outlineLevel="0" collapsed="false">
      <c r="A33" s="4" t="s">
        <v>93</v>
      </c>
      <c r="B33" s="4" t="s">
        <v>94</v>
      </c>
      <c r="C33" s="4" t="s">
        <v>95</v>
      </c>
    </row>
    <row r="34" customFormat="false" ht="15" hidden="false" customHeight="true" outlineLevel="0" collapsed="false">
      <c r="A34" s="24" t="s">
        <v>96</v>
      </c>
      <c r="B34" s="19" t="n">
        <f aca="false">250*0.5/100*$B$32</f>
        <v>10.8</v>
      </c>
      <c r="C34" s="19" t="n">
        <f aca="false">5000*0.5/100*$B$32</f>
        <v>216</v>
      </c>
    </row>
    <row r="35" customFormat="false" ht="15" hidden="false" customHeight="true" outlineLevel="0" collapsed="false">
      <c r="A35" s="24" t="s">
        <v>97</v>
      </c>
      <c r="B35" s="19" t="n">
        <f aca="false">250*1/100*$B$32</f>
        <v>21.6</v>
      </c>
      <c r="C35" s="19" t="n">
        <f aca="false">5000*1/100*$B$32</f>
        <v>432</v>
      </c>
    </row>
    <row r="36" customFormat="false" ht="15" hidden="false" customHeight="true" outlineLevel="0" collapsed="false">
      <c r="A36" s="24" t="s">
        <v>98</v>
      </c>
      <c r="B36" s="19" t="n">
        <f aca="false">250*2/100*$B$32</f>
        <v>43.2</v>
      </c>
      <c r="C36" s="19" t="n">
        <f aca="false">5000*2/100*$B$32</f>
        <v>864</v>
      </c>
    </row>
    <row r="38" customFormat="false" ht="15" hidden="false" customHeight="true" outlineLevel="0" collapsed="false">
      <c r="A38" s="3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2026-06-16T11:04:03Z</dcterms:created>
  <dc:creator>openpyxl</dc:creator>
  <dc:description/>
  <dc:language>en-US</dc:language>
  <cp:lastModifiedBy/>
  <dcterms:modified xsi:type="dcterms:W3CDTF">2026-06-16T11:04:23Z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