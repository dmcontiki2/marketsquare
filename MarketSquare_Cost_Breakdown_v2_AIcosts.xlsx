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vid\Projects\MarketSquare\"/>
    </mc:Choice>
  </mc:AlternateContent>
  <xr:revisionPtr revIDLastSave="0" documentId="8_{99CB1724-6B5D-4CF4-9AC1-600EE384C379}" xr6:coauthVersionLast="47" xr6:coauthVersionMax="47" xr10:uidLastSave="{00000000-0000-0000-0000-000000000000}"/>
  <bookViews>
    <workbookView xWindow="28680" yWindow="-120" windowWidth="29040" windowHeight="16440" tabRatio="500" activeTab="5" xr2:uid="{00000000-000D-0000-FFFF-FFFF00000000}"/>
  </bookViews>
  <sheets>
    <sheet name="AUDIT 16 Jul 2026" sheetId="1" r:id="rId1"/>
    <sheet name="3-Year Summary" sheetId="2" r:id="rId2"/>
    <sheet name="Year 1 Monthly" sheetId="3" r:id="rId3"/>
    <sheet name="AI Revenue Analysis" sheetId="4" r:id="rId4"/>
    <sheet name="Assumptions" sheetId="5" r:id="rId5"/>
    <sheet name="AI Cost Ceilings" sheetId="6" r:id="rId6"/>
    <sheet name="AI Costs Rev B (16 Jul 2026)" sheetId="7" r:id="rId7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" i="7" l="1"/>
  <c r="D49" i="7" s="1"/>
  <c r="C48" i="7"/>
  <c r="C49" i="7" s="1"/>
  <c r="B48" i="7"/>
  <c r="B49" i="7" s="1"/>
  <c r="D47" i="7"/>
  <c r="C47" i="7"/>
  <c r="B47" i="7"/>
  <c r="B44" i="7"/>
  <c r="B43" i="7"/>
  <c r="B42" i="7"/>
  <c r="B41" i="7"/>
  <c r="B40" i="7"/>
  <c r="B37" i="7"/>
  <c r="B27" i="7"/>
  <c r="D21" i="7"/>
  <c r="D24" i="7" s="1"/>
  <c r="C21" i="7"/>
  <c r="C24" i="7" s="1"/>
  <c r="B21" i="7"/>
  <c r="D20" i="7"/>
  <c r="C20" i="7"/>
  <c r="B20" i="7"/>
  <c r="D19" i="7"/>
  <c r="C19" i="7"/>
  <c r="B19" i="7"/>
  <c r="D18" i="7"/>
  <c r="C18" i="7"/>
  <c r="B18" i="7"/>
  <c r="K23" i="6"/>
  <c r="J23" i="6"/>
  <c r="H23" i="6"/>
  <c r="C23" i="6"/>
  <c r="I23" i="6" s="1"/>
  <c r="J22" i="6"/>
  <c r="H22" i="6"/>
  <c r="C22" i="6"/>
  <c r="J21" i="6"/>
  <c r="H21" i="6"/>
  <c r="C21" i="6"/>
  <c r="J20" i="6"/>
  <c r="H20" i="6"/>
  <c r="C20" i="6"/>
  <c r="J19" i="6"/>
  <c r="H19" i="6"/>
  <c r="C19" i="6"/>
  <c r="J18" i="6"/>
  <c r="K18" i="6" s="1"/>
  <c r="I18" i="6"/>
  <c r="H18" i="6"/>
  <c r="C18" i="6"/>
  <c r="J17" i="6"/>
  <c r="H17" i="6"/>
  <c r="C17" i="6"/>
  <c r="J16" i="6"/>
  <c r="H16" i="6"/>
  <c r="C16" i="6"/>
  <c r="J15" i="6"/>
  <c r="H15" i="6"/>
  <c r="C15" i="6"/>
  <c r="J14" i="6"/>
  <c r="H14" i="6"/>
  <c r="C14" i="6"/>
  <c r="C13" i="6"/>
  <c r="D20" i="2"/>
  <c r="C20" i="2"/>
  <c r="B20" i="2"/>
  <c r="D18" i="2"/>
  <c r="C18" i="2"/>
  <c r="B18" i="2"/>
  <c r="B52" i="7" l="1"/>
  <c r="B29" i="7"/>
  <c r="B24" i="7"/>
  <c r="D23" i="7"/>
  <c r="D22" i="7"/>
  <c r="C22" i="7"/>
  <c r="C23" i="7"/>
  <c r="B23" i="7"/>
  <c r="B22" i="7"/>
  <c r="B28" i="7"/>
  <c r="K22" i="6"/>
  <c r="I22" i="6"/>
  <c r="K21" i="6"/>
  <c r="I21" i="6"/>
  <c r="K20" i="6"/>
  <c r="I20" i="6"/>
  <c r="K19" i="6"/>
  <c r="I19" i="6"/>
  <c r="K17" i="6"/>
  <c r="I17" i="6"/>
  <c r="K16" i="6"/>
  <c r="I16" i="6"/>
  <c r="K15" i="6"/>
  <c r="I15" i="6"/>
  <c r="K14" i="6"/>
  <c r="I14" i="6"/>
  <c r="I13" i="6"/>
  <c r="I25" i="6" s="1"/>
  <c r="K13" i="6"/>
  <c r="J25" i="6" s="1"/>
  <c r="D21" i="2"/>
  <c r="D22" i="2" s="1"/>
  <c r="D29" i="2"/>
  <c r="C29" i="2"/>
  <c r="C21" i="2"/>
  <c r="C22" i="2" s="1"/>
  <c r="B21" i="2"/>
  <c r="B22" i="2" s="1"/>
  <c r="B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model</author>
  </authors>
  <commentList>
    <comment ref="B28" authorId="0" shapeId="0" xr:uid="{00000000-0006-0000-0400-000001000000}">
      <text>
        <r>
          <rPr>
            <sz val="11"/>
            <color theme="1"/>
            <rFont val="Calibri"/>
            <family val="2"/>
            <charset val="1"/>
          </rPr>
          <t>Guidance-only figure (0T/1T Haiku/owned data). Advanced AI Functions cost $0.20-$0.90 per call (capped) - see 'AI Cost Ceilings' sheet. Headline margins still 92-96%.</t>
        </r>
      </text>
    </comment>
  </commentList>
</comments>
</file>

<file path=xl/sharedStrings.xml><?xml version="1.0" encoding="utf-8"?>
<sst xmlns="http://schemas.openxmlformats.org/spreadsheetml/2006/main" count="343" uniqueCount="313">
  <si>
    <t>FULL WORKBOOK AUDIT — 16 Jul 2026 (Claude Fable) — every change from 'as filed' to current, in one place</t>
  </si>
  <si>
    <t>Rev A as filed is preserved UNCHANGED as its own file: MarketSquare_Cost_Breakdown_RevA_ARCHIVE_pre-16Jul2026.xlsx. This workbook is the LIVE model.</t>
  </si>
  <si>
    <t>Sheet</t>
  </si>
  <si>
    <t>Cell(s)</t>
  </si>
  <si>
    <t>Was</t>
  </si>
  <si>
    <t>Now</t>
  </si>
  <si>
    <t>Why</t>
  </si>
  <si>
    <t>Assumptions</t>
  </si>
  <si>
    <t>B36</t>
  </si>
  <si>
    <t>0.025 (2.5% 'blended')</t>
  </si>
  <si>
    <t>0.0381</t>
  </si>
  <si>
    <t>Live money is Paystack SA: 2.9% + R1 at ~R110 avg transaction = 3.81% effective. Old 2.5% was the Stripe assumption.</t>
  </si>
  <si>
    <t>C34</t>
  </si>
  <si>
    <t>'Required for Wave 1 Stripe (IoM/Singapore)'</t>
  </si>
  <si>
    <t>shelved note</t>
  </si>
  <si>
    <t>David SHELVED the Stripe entity on 16 Jul until income funds it (triggers in BACKLOG). Monthly $100 resumes only at unshelve.</t>
  </si>
  <si>
    <t>C28</t>
  </si>
  <si>
    <t>'What we pay per $2 of AI revenue'</t>
  </si>
  <si>
    <t>clarified</t>
  </si>
  <si>
    <t>0.004/T stays valid for Tuppence-charged SERVICES (Sonnet). The photo anonymity gate is NOT per-T and NOT user-charged — costed separately (Rev B, Gemini 3 Flash).</t>
  </si>
  <si>
    <t>B37 vs app</t>
  </si>
  <si>
    <t>ZAR 18.50 here; app charges R36 = $2 (implies 18.00)</t>
  </si>
  <si>
    <t>NOTE only</t>
  </si>
  <si>
    <t>1T=R36 is a product constant; at R18.50 it's worth $1.95 not $2.00 — a 2.6% FX drag on Tuppence revenue. Finding noted, no change (David's pricing canon).</t>
  </si>
  <si>
    <t>3-Year Summary</t>
  </si>
  <si>
    <t>B16</t>
  </si>
  <si>
    <t>Int'l entity Y1 = 1,100</t>
  </si>
  <si>
    <t>0</t>
  </si>
  <si>
    <t>Stripe entity shelved 16 Jul — no Y1 spend. Y2/Y3 keep 1,200 assuming unshelve at Year-2 triggers.</t>
  </si>
  <si>
    <t>B18:D18</t>
  </si>
  <si>
    <t>'Payment processing (2.5%)' 5,879 / 17,279 / 99,882</t>
  </si>
  <si>
    <t>Paystack real blended rate, now a FORMULA off Assumptions B36 — changing the assumption reprices every year automatically. Label renamed.</t>
  </si>
  <si>
    <t>B19:D19</t>
  </si>
  <si>
    <t>'Anthropic API cost' 349 / 1,136 / 7,797</t>
  </si>
  <si>
    <t>'AI API cost' 627 / 1,292 / 8,398</t>
  </si>
  <si>
    <t>Old line never contained the photo anonymity gate (built after budget). New = services (Sonnet, as before) + photo gate on Gemini 3 Flash (Rev B). Values from 'AI Costs Rev B' sheet.</t>
  </si>
  <si>
    <t>B20:D20</t>
  </si>
  <si>
    <t>hardcoded totals 8,873 / 23,595 / 113,609</t>
  </si>
  <si>
    <t>Total now recomputes from its parts — the class of error you kept finding cannot recur on this row.</t>
  </si>
  <si>
    <t>B21:D21</t>
  </si>
  <si>
    <t>hardcoded NET</t>
  </si>
  <si>
    <t>formula</t>
  </si>
  <si>
    <t>B22:D22</t>
  </si>
  <si>
    <t>0.962 / 0.965 / 0.971</t>
  </si>
  <si>
    <t>True margins after Paystack + full AI cost. Still exceptional; now honest.</t>
  </si>
  <si>
    <t>B29:D29</t>
  </si>
  <si>
    <t>cost/seller 1 / 5 / 7 (hardcoded)</t>
  </si>
  <si>
    <t>B30</t>
  </si>
  <si>
    <t>'Free users 1x Standard sub covers' 1757</t>
  </si>
  <si>
    <t>'Standard' is a legacy tier name (retired for new sellers). Figure kept; label is historical.</t>
  </si>
  <si>
    <t>Year 1 Monthly</t>
  </si>
  <si>
    <t>J col / A19</t>
  </si>
  <si>
    <t>'Net $' silently excluded payments + AI COGS</t>
  </si>
  <si>
    <t>note added</t>
  </si>
  <si>
    <t>The monthly Net overstated by ~4% of revenue. Structure preserved; the exclusion is now stated on the sheet.</t>
  </si>
  <si>
    <t>AI Cost Ceilings</t>
  </si>
  <si>
    <t>A5:A6</t>
  </si>
  <si>
    <t>'Sonnet 4.6'</t>
  </si>
  <si>
    <t>'= Sonnet 5 pricing, Jul 2026'</t>
  </si>
  <si>
    <t>Model name was stale; the $3/$15 basis is still correct for the current Sonnet 5. Intro pricing noted.</t>
  </si>
  <si>
    <t>J:K</t>
  </si>
  <si>
    <t>(added earlier today)</t>
  </si>
  <si>
    <t>Gemini worst-case / COGS columns</t>
  </si>
  <si>
    <t>Worst function COGS 6.8% (Sonnet) vs ~1.1% (Gemini 3 Flash) — functions stay Sonnet-routed until the frozen-eval test passes.</t>
  </si>
  <si>
    <t>AI Revenue Analysis</t>
  </si>
  <si>
    <t>A21</t>
  </si>
  <si>
    <t>photo gate absent from margins, unstated</t>
  </si>
  <si>
    <t>scope note added</t>
  </si>
  <si>
    <t>Prevents the same silent-cost confusion recurring on this sheet.</t>
  </si>
  <si>
    <t>HEADLINE AFTER AUDIT — Year 1: costs $11,131 · net $224,023 · margin 95.27%  |  Year 2: 95.25%  |  Year 3: 95.83%</t>
  </si>
  <si>
    <t>Guards: MODEL-COST-GUARD-1 (daily $/photo drift check) · payment line now formula-driven off Assumptions!B36 · totals/net/margin are formulas, not hardcodes.</t>
  </si>
  <si>
    <t>MarketSquare — Revised 3-Year Financial Model (Session 90) · AUDITED 16 Jul 2026 — Rev B: Paystack real rates + AI on Gemini plan + Stripe shelved</t>
  </si>
  <si>
    <t>New tier prices · AI as profit centre · Realistic city ramp</t>
  </si>
  <si>
    <t>Metric</t>
  </si>
  <si>
    <t>Year 1</t>
  </si>
  <si>
    <t>Year 2</t>
  </si>
  <si>
    <t>Year 3</t>
  </si>
  <si>
    <t>── SCALE ──────────────────────────</t>
  </si>
  <si>
    <t xml:space="preserve">  Live cities (end of year)</t>
  </si>
  <si>
    <t xml:space="preserve">  Total sellers</t>
  </si>
  <si>
    <t xml:space="preserve">  Total buyers</t>
  </si>
  <si>
    <t>── REVENUE ────────────────────────</t>
  </si>
  <si>
    <t xml:space="preserve">  Subscription revenue</t>
  </si>
  <si>
    <t xml:space="preserve">  Introduction (Tuppence) revenue</t>
  </si>
  <si>
    <t xml:space="preserve">  AI services revenue</t>
  </si>
  <si>
    <t xml:space="preserve">  TOTAL REVENUE</t>
  </si>
  <si>
    <t>── COSTS ──────────────────────────</t>
  </si>
  <si>
    <t xml:space="preserve">  Infrastructure &amp; operations</t>
  </si>
  <si>
    <t xml:space="preserve">  International entity (Stripe — SHELVED, resumes Y2)</t>
  </si>
  <si>
    <t xml:space="preserve">  Accountant (from Year 2)</t>
  </si>
  <si>
    <t xml:space="preserve">  Payment processing (Paystack blended — Assumptions!B36)</t>
  </si>
  <si>
    <t xml:space="preserve">  AI API cost (services Sonnet + photo gate Gemini — Rev B)</t>
  </si>
  <si>
    <t xml:space="preserve">  TOTAL COSTS</t>
  </si>
  <si>
    <t xml:space="preserve">  NET INCOME</t>
  </si>
  <si>
    <t xml:space="preserve">  Operating margin</t>
  </si>
  <si>
    <t>── REVENUE MIX ─────────────────────</t>
  </si>
  <si>
    <t xml:space="preserve">  Subscriptions %</t>
  </si>
  <si>
    <t xml:space="preserve">  Introductions %</t>
  </si>
  <si>
    <t xml:space="preserve">  AI services %</t>
  </si>
  <si>
    <t>── UNIT ECONOMICS ─────────────────</t>
  </si>
  <si>
    <t xml:space="preserve">  Annual revenue per seller</t>
  </si>
  <si>
    <t xml:space="preserve">  Annual cost per seller</t>
  </si>
  <si>
    <t xml:space="preserve">  Free users 1x Standard sub covers</t>
  </si>
  <si>
    <t>Year 1 Monthly Revenue — City Launch Ramp</t>
  </si>
  <si>
    <t>Mo 1-3: Pretoria only · Mo 4-6: Wave 1 (4 cities) · Mo 7+: +8 cities/month</t>
  </si>
  <si>
    <t>Mo</t>
  </si>
  <si>
    <t>Cities</t>
  </si>
  <si>
    <t>Sellers</t>
  </si>
  <si>
    <t>Buyers</t>
  </si>
  <si>
    <t>Subs $</t>
  </si>
  <si>
    <t>Intros $</t>
  </si>
  <si>
    <t>AI net $</t>
  </si>
  <si>
    <t>Total $</t>
  </si>
  <si>
    <t>Infra $</t>
  </si>
  <si>
    <t>Net $</t>
  </si>
  <si>
    <t>Sub%</t>
  </si>
  <si>
    <t>Int%</t>
  </si>
  <si>
    <t>AI%</t>
  </si>
  <si>
    <t>YEAR 1 TOTAL</t>
  </si>
  <si>
    <t>AUDIT NOTE (16 Jul 2026): 'Net $' here = revenue − infrastructure ONLY. Payment processing (~3.8% of revenue) and AI COGS are excluded from this monthly view — see the audited 3-Year Summary for true net.</t>
  </si>
  <si>
    <t>AI Services — 97% Margin Profit Centre</t>
  </si>
  <si>
    <t>Sellers pay 1T=$2 per call. We pay $0.002-$0.04 to Anthropic. Net margin ~97%.</t>
  </si>
  <si>
    <t>Scenario</t>
  </si>
  <si>
    <t>Seller adopt%</t>
  </si>
  <si>
    <t>Buyer adopt%</t>
  </si>
  <si>
    <t>Gross rev/mo</t>
  </si>
  <si>
    <t>API cost/mo</t>
  </si>
  <si>
    <t>Net margin</t>
  </si>
  <si>
    <t xml:space="preserve">  Launch: Pretoria, 60 sellers</t>
  </si>
  <si>
    <t xml:space="preserve">  Wave 1: 4 cities, 240 sellers</t>
  </si>
  <si>
    <t xml:space="preserve">  Year 1 end: 52 cities, 7,790 sellers</t>
  </si>
  <si>
    <t xml:space="preserve">  Year 2: 52 cities, 20% seller adoption</t>
  </si>
  <si>
    <t xml:space="preserve">  Year 3: 148 cities, 35% seller adoption</t>
  </si>
  <si>
    <t xml:space="preserve">  Upside: 60% seller adoption (collector-heavy)</t>
  </si>
  <si>
    <t>WHY AI ADOPTION IS STRUCTURALLY HIGH FOR THIS MARKETPLACE</t>
  </si>
  <si>
    <t xml:space="preserve">  • Collectors: AI price-check (1T=$2) before every intro is rational — item values vary 10-100x. ROI positive from first use.</t>
  </si>
  <si>
    <t xml:space="preserve">  • Estate agents: rewrite (1T) + yield-calc (1T) per listing = 2T. At 5 new listings/month = $20 AI spend vs $12 sub. Additive, not competitive.</t>
  </si>
  <si>
    <t xml:space="preserve">  • Property investors: yield calculator run 3-5x per property at different price assumptions. Repeat rational use, not habit.</t>
  </si>
  <si>
    <t xml:space="preserve">  • Buyers: 1T price-check before committing 1T to an intro = insurance. Self-reinforcing — buyers who check convert better.</t>
  </si>
  <si>
    <t xml:space="preserve">  • The 'addiction' dynamic is repeated rational economic decisions with positive expected value. Not gamification.</t>
  </si>
  <si>
    <t xml:space="preserve">  • At 40% seller adoption: AI revenue approaches intro revenue. At 60%: AI becomes the single largest revenue stream.</t>
  </si>
  <si>
    <t>NOTE (16 Jun): per-call cost above is the 1T guidance case. Advanced functions are capped per 'AI Cost Ceilings' sheet (worst COGS 7.5%); headline margins unchanged.</t>
  </si>
  <si>
    <t>AUDIT NOTE (16 Jul 2026): margins on this sheet are for Tuppence-CHARGED services and remain valid (services stay Sonnet-routed pending eval). The photo anonymity gate is free to users and is NOT in these margins — it is costed in 'AI Costs Rev B'.</t>
  </si>
  <si>
    <t>Model Assumptions — Update blue cells as actuals come in</t>
  </si>
  <si>
    <t>Blue = hardcoded input. Update monthly_income_usd in BEA after first subscriptions arrive.</t>
  </si>
  <si>
    <t>SUBSCRIPTION TIERS (Simpler Model — adopted 9-10 Jun 2026)</t>
  </si>
  <si>
    <t xml:space="preserve">  Free price/month (USD)</t>
  </si>
  <si>
    <t>2 listing slots</t>
  </si>
  <si>
    <t xml:space="preserve">  Starter price/month (USD)</t>
  </si>
  <si>
    <t>10 slots (R90)</t>
  </si>
  <si>
    <t xml:space="preserve">  Pro price/month (USD)</t>
  </si>
  <si>
    <t>30 slots (R360)</t>
  </si>
  <si>
    <t xml:space="preserve">  Agency price/month (USD)</t>
  </si>
  <si>
    <t>Free + verified · trust-graduated slot cap</t>
  </si>
  <si>
    <t>TIER DISTRIBUTION (launch — estimate, update as actuals come in)</t>
  </si>
  <si>
    <t xml:space="preserve">  % Free</t>
  </si>
  <si>
    <t>Decreases as platform proves value</t>
  </si>
  <si>
    <t xml:space="preserve">  % Starter</t>
  </si>
  <si>
    <t xml:space="preserve">  % Pro</t>
  </si>
  <si>
    <t xml:space="preserve">  % Agency</t>
  </si>
  <si>
    <t xml:space="preserve">  Legacy tiers (Standard/Professional/Business/Elite)</t>
  </si>
  <si>
    <t>Retained for existing users only — not offered to new sellers; see bea_main _SELLER_SUB_TIERS</t>
  </si>
  <si>
    <t>INTRODUCTIONS</t>
  </si>
  <si>
    <t xml:space="preserve">  Tuppence value (USD)</t>
  </si>
  <si>
    <t>Fixed — 1T = $2</t>
  </si>
  <si>
    <t xml:space="preserve">  Intros per buyer/month (cold)</t>
  </si>
  <si>
    <t>Ramps to 0.30 by month 12</t>
  </si>
  <si>
    <t xml:space="preserve">  Intros per buyer/month (mature)</t>
  </si>
  <si>
    <t>Year 2+ steady state</t>
  </si>
  <si>
    <t xml:space="preserve">  Intro acceptance rate</t>
  </si>
  <si>
    <t>Trust Score drives this up</t>
  </si>
  <si>
    <t xml:space="preserve">  Buyers per seller (launch)</t>
  </si>
  <si>
    <t>Conservative — platform unknown</t>
  </si>
  <si>
    <t xml:space="preserve">  Buyers per seller (mature)</t>
  </si>
  <si>
    <t>Year 3 target</t>
  </si>
  <si>
    <t>AI SERVICES</t>
  </si>
  <si>
    <t xml:space="preserve">  Seller AI adoption % (launch)</t>
  </si>
  <si>
    <t>8% use AI monthly at start</t>
  </si>
  <si>
    <t xml:space="preserve">  Seller AI adoption % (mature)</t>
  </si>
  <si>
    <t>Collectors/agents drive this up</t>
  </si>
  <si>
    <t xml:space="preserve">  Avg Tuppence/seller/month on AI</t>
  </si>
  <si>
    <t>Mix of rewrite, audit, yield calc</t>
  </si>
  <si>
    <t xml:space="preserve">  Buyer AI adoption % (launch)</t>
  </si>
  <si>
    <t>Price-check before intro</t>
  </si>
  <si>
    <t xml:space="preserve">  Buyer AI adoption % (mature)</t>
  </si>
  <si>
    <t>Grows as buyers learn feature</t>
  </si>
  <si>
    <t xml:space="preserve">  Anthropic blended cost per T</t>
  </si>
  <si>
    <t>Services only (Sonnet). Photo anonymity gate costed separately — see 'AI Costs Rev B' (Gemini 3 Flash)</t>
  </si>
  <si>
    <t>INFRASTRUCTURE (monthly USD)</t>
  </si>
  <si>
    <t xml:space="preserve">  Hetzner CPX32</t>
  </si>
  <si>
    <t>Actual — Session 88 upgrade</t>
  </si>
  <si>
    <t xml:space="preserve">  Cloudflare R2 per city</t>
  </si>
  <si>
    <t>Scales linearly with city count</t>
  </si>
  <si>
    <t xml:space="preserve">  Claude Pro</t>
  </si>
  <si>
    <t>Sole dev tool</t>
  </si>
  <si>
    <t xml:space="preserve">  Domain</t>
  </si>
  <si>
    <t>~$12/yr amortised</t>
  </si>
  <si>
    <t xml:space="preserve">  International entity</t>
  </si>
  <si>
    <t>SHELVED 16 Jul 2026 (David) — resumes only when STRIPE-GLOBAL-1 unshelves (triggers in BACKLOG)</t>
  </si>
  <si>
    <t>R2,000/mo + R500 software @ R18.5</t>
  </si>
  <si>
    <t xml:space="preserve">  Payment processing blended</t>
  </si>
  <si>
    <t>Paystack SA 2.9%+R1 @ ~R110 avg tx = 3.81% · Stripe intl only when STRIPE-GLOBAL-1 unshelves</t>
  </si>
  <si>
    <t xml:space="preserve">  ZAR/USD rate</t>
  </si>
  <si>
    <t>Update periodically</t>
  </si>
  <si>
    <t>SPEND ALERT CONFIG (BEA)</t>
  </si>
  <si>
    <t xml:space="preserve">  monthly_income_usd (set in BEA)</t>
  </si>
  <si>
    <t>⚠ Update via PUT /admin/ai-spend/config after first revenue</t>
  </si>
  <si>
    <t xml:space="preserve">  alert_threshold_pct</t>
  </si>
  <si>
    <t>Alert fires when AI spend &gt; this % of income</t>
  </si>
  <si>
    <t>AI Function Cost Ceilings — bounded by construction</t>
  </si>
  <si>
    <t>Each function is hard-capped (max input/output tokens, max searches) so its worst-case cost is a known constant. See canon: AI_FUNCTION_COST_CEILINGS.md</t>
  </si>
  <si>
    <t>COST BASIS (editable)</t>
  </si>
  <si>
    <t>Sonnet input ($/Mtok) — '4.6' label historical; = Sonnet 5 pricing, Jul 2026</t>
  </si>
  <si>
    <t>Sonnet output ($/Mtok) — = Sonnet 5, Jul 2026 (intro $2/$10 to 31 Aug)</t>
  </si>
  <si>
    <t>Haiku 4.5 input ($/Mtok)</t>
  </si>
  <si>
    <t>Haiku 4.5 output ($/Mtok)</t>
  </si>
  <si>
    <t>Web search ($/search)</t>
  </si>
  <si>
    <t>Gemini 3 Flash input ($/Mtok) — Rev B (vs Sonnet input $3.00 = 6x cheaper)</t>
  </si>
  <si>
    <t>Gemini 3 Flash output ($/Mtok) — Rev B (vs Sonnet output $15.00 = 5x cheaper)</t>
  </si>
  <si>
    <t>Function</t>
  </si>
  <si>
    <t>Price T</t>
  </si>
  <si>
    <t>Price $</t>
  </si>
  <si>
    <t>Model</t>
  </si>
  <si>
    <t>Max in</t>
  </si>
  <si>
    <t>Max out</t>
  </si>
  <si>
    <t>Searches</t>
  </si>
  <si>
    <t>Worst-case $</t>
  </si>
  <si>
    <t>Max COGS</t>
  </si>
  <si>
    <t>Gemini worst-case $</t>
  </si>
  <si>
    <t>Gemini COGS</t>
  </si>
  <si>
    <t>introduction</t>
  </si>
  <si>
    <t>—</t>
  </si>
  <si>
    <t>fair_price / yield (guidance)</t>
  </si>
  <si>
    <t>Haiku</t>
  </si>
  <si>
    <t>offer_advisor</t>
  </si>
  <si>
    <t>Sonnet</t>
  </si>
  <si>
    <t>study_plan</t>
  </si>
  <si>
    <t>weekend_itinerary</t>
  </si>
  <si>
    <t>collectables_advert</t>
  </si>
  <si>
    <t>car_dossier</t>
  </si>
  <si>
    <t>property_dossier</t>
  </si>
  <si>
    <t>heritage_tour</t>
  </si>
  <si>
    <t>collection_liquidation</t>
  </si>
  <si>
    <t>expedition_dossier</t>
  </si>
  <si>
    <t>Worst COGS across all functions</t>
  </si>
  <si>
    <t>Target ceiling</t>
  </si>
  <si>
    <t>Rule: price_$ ≥ worst_case_$ ÷ (1 − target). Re-check before promoting a stub or wiring any paid feed.</t>
  </si>
  <si>
    <t>Rev B note (16 Jul 2026): advanced functions REMAIN Sonnet-routed until the frozen-eval test passes — columns J-K show the ceiling headroom IF switched to Gemini 3 Flash (worst COGS drops ~6x). The PHOTO pipeline is re-costed on Gemini in 'AI Costs Rev B'.</t>
  </si>
  <si>
    <t>AI COSTS — REVISION B: photo pipeline on Gemini 3 Flash (16 Jul 2026). Original sheets untouched (Rev A stands as filed).</t>
  </si>
  <si>
    <t>Swap-out principle preserved: ai_provider.py seam routes the photo task by config — this revision changes ROUTING, not architecture. Swap back to Claude, or to OpenAI/GLM, at any time (price triples / access banned / quality drops).</t>
  </si>
  <si>
    <t>Assumptions (blue = edit)</t>
  </si>
  <si>
    <t>Listings per seller</t>
  </si>
  <si>
    <t>planning assumption</t>
  </si>
  <si>
    <t>Svc API $ Y1/Y2/Y3:</t>
  </si>
  <si>
    <t>Avg photos stored per listing (24-cap x 70%)</t>
  </si>
  <si>
    <t>PHOTO-CAP-1</t>
  </si>
  <si>
    <t>$ / photo — Claude Sonnet 5 (Rev A reality)</t>
  </si>
  <si>
    <t>AI_PHOTO_COST_MODEL.xlsx, mixed 30% redaction</t>
  </si>
  <si>
    <t>$ / photo — Gemini 3 Flash (Rev B)</t>
  </si>
  <si>
    <t>same pipeline; ~560 img tokens; $0.50/$3.00 per M — VERIFY at ai.google.dev before switch</t>
  </si>
  <si>
    <t>Sellers Year 1</t>
  </si>
  <si>
    <t>from '3-Year Summary' as filed</t>
  </si>
  <si>
    <t>Sellers Year 2</t>
  </si>
  <si>
    <t>as filed</t>
  </si>
  <si>
    <t>Sellers Year 3</t>
  </si>
  <si>
    <t>Other AI services API cost (Rev A line, unchanged)</t>
  </si>
  <si>
    <t>stays as filed: 349 / 1,136 / 7,797 — Tuppence-funded, 97% margin</t>
  </si>
  <si>
    <t>THEN vs NOW — total AI API cost per year ($)</t>
  </si>
  <si>
    <t>Line</t>
  </si>
  <si>
    <t>Note</t>
  </si>
  <si>
    <t>Photos per year (sellers x listings x photos)</t>
  </si>
  <si>
    <t>volume driver</t>
  </si>
  <si>
    <t>REV A as FILED — AI line in the old budget</t>
  </si>
  <si>
    <t>the $349 line NEVER included the photo anonymity gate (built 11 Jul, after the budget)</t>
  </si>
  <si>
    <t>REV A REALITY — old budget + photo gate on Sonnet</t>
  </si>
  <si>
    <t>the silent killer David caught: unbudgeted</t>
  </si>
  <si>
    <t>REV B — old services + photo gate on GEMINI 3 FLASH</t>
  </si>
  <si>
    <t>the new plan</t>
  </si>
  <si>
    <t>Saving: Rev B vs Sonnet reality</t>
  </si>
  <si>
    <t>Overrun avoided vs budget as filed</t>
  </si>
  <si>
    <t>what would have silently hit us</t>
  </si>
  <si>
    <t>Rev B overshoot vs budget as filed</t>
  </si>
  <si>
    <t>small, now VISIBLE and budgeted</t>
  </si>
  <si>
    <t>Operating margin impact (Year 1, revenue $235,154 · other costs $8,524 as filed)</t>
  </si>
  <si>
    <t>Margin — Rev A as filed</t>
  </si>
  <si>
    <t>Margin — Sonnet reality</t>
  </si>
  <si>
    <t>Margin — Rev B (Gemini 3 Flash)</t>
  </si>
  <si>
    <t>Gate: MODEL-COST-GUARD-1 — daily loop compares actual $/photo to $B$9; &gt;20% drift = amber in the morning brief.</t>
  </si>
  <si>
    <t>PAYMENTS — REV B: the model charged 2.5% (Stripe); live money runs on PAYSTACK (ZA): 2.9% + R1/transaction</t>
  </si>
  <si>
    <t>Paystack % fee</t>
  </si>
  <si>
    <t>paystack.com/pricing — verify; some sources say +R1.50</t>
  </si>
  <si>
    <t>Paystack fixed fee (R)</t>
  </si>
  <si>
    <t>waived under R10</t>
  </si>
  <si>
    <t>ZAR per USD</t>
  </si>
  <si>
    <t>model constant</t>
  </si>
  <si>
    <t>Blended avg transaction size (R)</t>
  </si>
  <si>
    <t>mix of R36 single-T, R72-180 small packs, R90/R360 subs — tune from live Paystack data</t>
  </si>
  <si>
    <t>Effective blended rate = % + fixed/avg-tx</t>
  </si>
  <si>
    <t>Effective rate by transaction size:</t>
  </si>
  <si>
    <t>1T top-up (R36)</t>
  </si>
  <si>
    <t>2T (R72)</t>
  </si>
  <si>
    <t>5T (R180)</t>
  </si>
  <si>
    <t>Starter sub (R90)</t>
  </si>
  <si>
    <t>Pro sub (R360)</t>
  </si>
  <si>
    <t>Payments line</t>
  </si>
  <si>
    <t>As FILED — 2.5% (Stripe assumption)</t>
  </si>
  <si>
    <t>the old model line</t>
  </si>
  <si>
    <t>REV B — Paystack effective blended rate</t>
  </si>
  <si>
    <t>Y2/Y3 international share would move to Stripe when STRIPE-GLOBAL-1 unshelves</t>
  </si>
  <si>
    <t>Increase vs filed</t>
  </si>
  <si>
    <t>Year-1 margin, all Rev B lines together (AI on Gemini + Paystack real)</t>
  </si>
  <si>
    <t>Margin — fully restated</t>
  </si>
  <si>
    <t>replaces old AI line and old payments line with Rev B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</si>
</sst>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\$#,##0;&quot;($&quot;#,##0\);\-"/>
    <numFmt numFmtId="165" formatCode="0.0%;\(0.0%\);\-"/>
    <numFmt numFmtId="166" formatCode="0%;\(0%\);\-"/>
    <numFmt numFmtId="167" formatCode="\$#,##0.00;&quot;($&quot;#,##0.00\);\-"/>
    <numFmt numFmtId="168" formatCode="0.0"/>
    <numFmt numFmtId="169" formatCode="0.0%"/>
    <numFmt numFmtId="170" formatCode="\$#,##0"/>
    <numFmt numFmtId="171" formatCode="\$0.00"/>
  </numFmts>
  <fonts count="22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i/>
      <sz val="10"/>
      <color rgb="FF595959"/>
      <name val="Arial"/>
      <charset val="1"/>
    </font>
    <font>
      <sz val="10"/>
      <color rgb="FF000000"/>
      <name val="Arial"/>
      <charset val="1"/>
    </font>
    <font>
      <b/>
      <sz val="10"/>
      <color rgb="FF000000"/>
      <name val="Arial"/>
      <charset val="1"/>
    </font>
    <font>
      <sz val="10"/>
      <color rgb="FF1F3864"/>
      <name val="Arial"/>
      <charset val="1"/>
    </font>
    <font>
      <sz val="9"/>
      <color rgb="FF6B7280"/>
      <name val="Arial"/>
      <charset val="1"/>
    </font>
    <font>
      <sz val="10"/>
      <color rgb="FF0000FF"/>
      <name val="Arial"/>
      <charset val="1"/>
    </font>
    <font>
      <sz val="10"/>
      <color rgb="FFFF8C00"/>
      <name val="Arial"/>
      <charset val="1"/>
    </font>
    <font>
      <b/>
      <sz val="13"/>
      <color rgb="FF1E3A5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2"/>
      <name val="Arial"/>
      <charset val="1"/>
    </font>
    <font>
      <i/>
      <sz val="11"/>
      <name val="Arial"/>
      <charset val="1"/>
    </font>
    <font>
      <b/>
      <sz val="11"/>
      <name val="Arial"/>
      <charset val="1"/>
    </font>
    <font>
      <sz val="11"/>
      <color rgb="FF0000FF"/>
      <name val="Arial"/>
      <charset val="1"/>
    </font>
    <font>
      <b/>
      <sz val="11"/>
      <color rgb="FFFFFFFF"/>
      <name val="Arial"/>
      <charset val="1"/>
    </font>
    <font>
      <sz val="11"/>
      <color rgb="FF0000FF"/>
      <name val="Arial"/>
    </font>
    <font>
      <b/>
      <sz val="11"/>
      <color rgb="FFFFFFFF"/>
      <name val="Arial"/>
    </font>
    <font>
      <i/>
      <sz val="11"/>
      <name val="Arial"/>
    </font>
    <font>
      <b/>
      <sz val="11"/>
      <name val="Arial"/>
    </font>
    <font>
      <b/>
      <sz val="12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1E3A5F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EF3F8"/>
      </patternFill>
    </fill>
    <fill>
      <patternFill patternType="solid">
        <fgColor rgb="FFD6E4F0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1E3A5F"/>
        <bgColor rgb="FF1F3864"/>
      </patternFill>
    </fill>
    <fill>
      <patternFill patternType="solid">
        <fgColor rgb="FFEEF3F8"/>
        <bgColor rgb="FFF2F2F2"/>
      </patternFill>
    </fill>
    <fill>
      <patternFill patternType="solid">
        <fgColor rgb="FFFFFF00"/>
      </patternFill>
    </fill>
    <fill>
      <patternFill patternType="solid">
        <fgColor rgb="FF1E3A5F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3" fontId="3" fillId="0" borderId="0" xfId="0" applyNumberFormat="1" applyFont="1" applyAlignment="1">
      <alignment horizontal="right" vertical="center"/>
    </xf>
    <xf numFmtId="164" fontId="3" fillId="0" borderId="0" xfId="0" applyNumberFormat="1" applyFont="1" applyAlignment="1">
      <alignment horizontal="right" vertical="center"/>
    </xf>
    <xf numFmtId="0" fontId="4" fillId="4" borderId="0" xfId="0" applyFont="1" applyFill="1" applyAlignment="1">
      <alignment horizontal="left" vertical="center"/>
    </xf>
    <xf numFmtId="164" fontId="4" fillId="4" borderId="0" xfId="0" applyNumberFormat="1" applyFont="1" applyFill="1" applyAlignment="1">
      <alignment horizontal="right" vertical="center"/>
    </xf>
    <xf numFmtId="165" fontId="3" fillId="0" borderId="0" xfId="0" applyNumberFormat="1" applyFont="1" applyAlignment="1">
      <alignment horizontal="right" vertical="center"/>
    </xf>
    <xf numFmtId="0" fontId="3" fillId="5" borderId="0" xfId="0" applyFont="1" applyFill="1" applyAlignment="1">
      <alignment horizontal="left" vertical="center"/>
    </xf>
    <xf numFmtId="166" fontId="3" fillId="5" borderId="0" xfId="0" applyNumberFormat="1" applyFont="1" applyFill="1" applyAlignment="1">
      <alignment horizontal="right" vertical="center"/>
    </xf>
    <xf numFmtId="0" fontId="3" fillId="5" borderId="0" xfId="0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right" vertical="center"/>
    </xf>
    <xf numFmtId="164" fontId="3" fillId="5" borderId="0" xfId="0" applyNumberFormat="1" applyFont="1" applyFill="1" applyAlignment="1">
      <alignment horizontal="right" vertical="center"/>
    </xf>
    <xf numFmtId="166" fontId="3" fillId="5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166" fontId="4" fillId="4" borderId="0" xfId="0" applyNumberFormat="1" applyFont="1" applyFill="1" applyAlignment="1">
      <alignment horizontal="center" vertical="center"/>
    </xf>
    <xf numFmtId="165" fontId="3" fillId="5" borderId="0" xfId="0" applyNumberFormat="1" applyFont="1" applyFill="1" applyAlignment="1">
      <alignment horizontal="right" vertical="center"/>
    </xf>
    <xf numFmtId="167" fontId="3" fillId="5" borderId="0" xfId="0" applyNumberFormat="1" applyFont="1" applyFill="1" applyAlignment="1">
      <alignment horizontal="right" vertical="center"/>
    </xf>
    <xf numFmtId="167" fontId="3" fillId="0" borderId="0" xfId="0" applyNumberFormat="1" applyFont="1" applyAlignment="1">
      <alignment horizontal="right" vertical="center"/>
    </xf>
    <xf numFmtId="0" fontId="6" fillId="0" borderId="0" xfId="0" applyFont="1"/>
    <xf numFmtId="167" fontId="7" fillId="0" borderId="0" xfId="0" applyNumberFormat="1" applyFont="1" applyAlignment="1">
      <alignment horizontal="right" vertical="center"/>
    </xf>
    <xf numFmtId="165" fontId="7" fillId="0" borderId="0" xfId="0" applyNumberFormat="1" applyFont="1" applyAlignment="1">
      <alignment horizontal="right" vertical="center"/>
    </xf>
    <xf numFmtId="2" fontId="7" fillId="0" borderId="0" xfId="0" applyNumberFormat="1" applyFont="1" applyAlignment="1">
      <alignment horizontal="right" vertical="center"/>
    </xf>
    <xf numFmtId="168" fontId="7" fillId="0" borderId="0" xfId="0" applyNumberFormat="1" applyFont="1" applyAlignment="1">
      <alignment horizontal="right" vertical="center"/>
    </xf>
    <xf numFmtId="167" fontId="8" fillId="6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7" borderId="0" xfId="0" applyFont="1" applyFill="1"/>
    <xf numFmtId="0" fontId="0" fillId="7" borderId="0" xfId="0" applyFill="1"/>
    <xf numFmtId="0" fontId="10" fillId="0" borderId="0" xfId="0" applyFont="1"/>
    <xf numFmtId="167" fontId="7" fillId="0" borderId="0" xfId="0" applyNumberFormat="1" applyFont="1"/>
    <xf numFmtId="0" fontId="1" fillId="7" borderId="0" xfId="0" applyFont="1" applyFill="1" applyAlignment="1">
      <alignment horizontal="center" wrapText="1"/>
    </xf>
    <xf numFmtId="0" fontId="10" fillId="0" borderId="1" xfId="0" applyFont="1" applyBorder="1"/>
    <xf numFmtId="167" fontId="0" fillId="0" borderId="1" xfId="0" applyNumberFormat="1" applyBorder="1"/>
    <xf numFmtId="0" fontId="0" fillId="0" borderId="1" xfId="0" applyBorder="1"/>
    <xf numFmtId="169" fontId="0" fillId="0" borderId="1" xfId="0" applyNumberFormat="1" applyBorder="1"/>
    <xf numFmtId="0" fontId="10" fillId="8" borderId="1" xfId="0" applyFont="1" applyFill="1" applyBorder="1"/>
    <xf numFmtId="167" fontId="0" fillId="8" borderId="1" xfId="0" applyNumberFormat="1" applyFill="1" applyBorder="1"/>
    <xf numFmtId="0" fontId="0" fillId="8" borderId="1" xfId="0" applyFill="1" applyBorder="1"/>
    <xf numFmtId="169" fontId="0" fillId="8" borderId="1" xfId="0" applyNumberFormat="1" applyFill="1" applyBorder="1"/>
    <xf numFmtId="0" fontId="11" fillId="0" borderId="0" xfId="0" applyFont="1"/>
    <xf numFmtId="169" fontId="11" fillId="0" borderId="0" xfId="0" applyNumberFormat="1" applyFont="1"/>
    <xf numFmtId="169" fontId="6" fillId="0" borderId="0" xfId="0" applyNumberFormat="1" applyFont="1"/>
    <xf numFmtId="0" fontId="12" fillId="0" borderId="0" xfId="0" applyFont="1"/>
    <xf numFmtId="0" fontId="14" fillId="0" borderId="0" xfId="0" applyFont="1"/>
    <xf numFmtId="0" fontId="15" fillId="6" borderId="0" xfId="0" applyFont="1" applyFill="1"/>
    <xf numFmtId="0" fontId="16" fillId="7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3" fontId="0" fillId="0" borderId="2" xfId="0" applyNumberFormat="1" applyBorder="1" applyAlignment="1">
      <alignment vertical="top" wrapText="1"/>
    </xf>
    <xf numFmtId="170" fontId="0" fillId="0" borderId="2" xfId="0" applyNumberFormat="1" applyBorder="1" applyAlignment="1">
      <alignment vertical="top" wrapText="1"/>
    </xf>
    <xf numFmtId="10" fontId="0" fillId="0" borderId="0" xfId="0" applyNumberFormat="1"/>
    <xf numFmtId="0" fontId="13" fillId="0" borderId="0" xfId="0" applyFont="1"/>
    <xf numFmtId="0" fontId="17" fillId="9" borderId="0" xfId="0" applyFont="1" applyFill="1"/>
    <xf numFmtId="0" fontId="18" fillId="10" borderId="0" xfId="0" applyFont="1" applyFill="1"/>
    <xf numFmtId="171" fontId="0" fillId="0" borderId="0" xfId="0" applyNumberFormat="1"/>
    <xf numFmtId="169" fontId="0" fillId="0" borderId="0" xfId="0" applyNumberFormat="1"/>
    <xf numFmtId="0" fontId="20" fillId="0" borderId="0" xfId="0" applyFont="1"/>
    <xf numFmtId="0" fontId="19" fillId="0" borderId="0" xfId="0" applyFont="1"/>
    <xf numFmtId="170" fontId="0" fillId="0" borderId="0" xfId="0" applyNumberFormat="1"/>
    <xf numFmtId="171" fontId="17" fillId="9" borderId="0" xfId="0" applyNumberFormat="1" applyFont="1" applyFill="1"/>
    <xf numFmtId="0" fontId="21" fillId="0" borderId="0" xfId="0" applyFont="1"/>
    <xf numFmtId="0" fontId="18" fillId="10" borderId="3" xfId="0" applyFont="1" applyFill="1" applyBorder="1" applyAlignment="1">
      <alignment vertical="top" wrapText="1"/>
    </xf>
    <xf numFmtId="0" fontId="0" fillId="0" borderId="3" xfId="0" applyBorder="1" applyAlignment="1">
      <alignment vertical="top" wrapText="1"/>
    </xf>
    <xf numFmtId="164" fontId="17" fillId="9" borderId="0" xfId="0" applyNumberFormat="1" applyFont="1" applyFill="1" applyAlignment="1">
      <alignment horizontal="right" vertical="center"/>
    </xf>
    <xf numFmtId="3" fontId="4" fillId="4" borderId="0" xfId="0" applyNumberFormat="1" applyFont="1" applyFill="1" applyAlignment="1">
      <alignment horizontal="right" vertical="center"/>
    </xf>
    <xf numFmtId="10" fontId="3" fillId="0" borderId="0" xfId="0" applyNumberFormat="1" applyFont="1" applyAlignment="1">
      <alignment horizontal="right" vertical="center"/>
    </xf>
    <xf numFmtId="2" fontId="3" fillId="0" borderId="0" xfId="0" applyNumberFormat="1" applyFont="1" applyAlignment="1">
      <alignment horizontal="right" vertical="center"/>
    </xf>
    <xf numFmtId="0" fontId="19" fillId="0" borderId="0" xfId="0" applyFont="1"/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9" fillId="0" borderId="0" xfId="0" applyFont="1" applyAlignment="1">
      <alignment wrapText="1"/>
    </xf>
    <xf numFmtId="0" fontId="5" fillId="0" borderId="0" xfId="0" applyFont="1" applyAlignment="1">
      <alignment horizontal="left" vertical="center"/>
    </xf>
    <xf numFmtId="0" fontId="1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595959"/>
      <rgbColor rgb="FF9999FF"/>
      <rgbColor rgb="FF993366"/>
      <rgbColor rgb="FFF2F2F2"/>
      <rgbColor rgb="FFEEF3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8C00"/>
      <rgbColor rgb="FFFF6600"/>
      <rgbColor rgb="FF6B7280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E3A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"/>
  <sheetViews>
    <sheetView workbookViewId="0"/>
  </sheetViews>
  <sheetFormatPr defaultRowHeight="14.4" x14ac:dyDescent="0.3"/>
  <cols>
    <col min="1" max="1" width="56.6640625" customWidth="1"/>
    <col min="2" max="2" width="14" customWidth="1"/>
    <col min="3" max="4" width="34" customWidth="1"/>
    <col min="5" max="5" width="70" customWidth="1"/>
  </cols>
  <sheetData>
    <row r="1" spans="1:5" ht="15.6" x14ac:dyDescent="0.3">
      <c r="A1" s="63" t="s">
        <v>0</v>
      </c>
    </row>
    <row r="2" spans="1:5" x14ac:dyDescent="0.3">
      <c r="A2" s="70" t="s">
        <v>1</v>
      </c>
      <c r="B2" s="71"/>
      <c r="C2" s="71"/>
      <c r="D2" s="71"/>
      <c r="E2" s="71"/>
    </row>
    <row r="4" spans="1:5" x14ac:dyDescent="0.3">
      <c r="A4" s="64" t="s">
        <v>2</v>
      </c>
      <c r="B4" s="64" t="s">
        <v>3</v>
      </c>
      <c r="C4" s="64" t="s">
        <v>4</v>
      </c>
      <c r="D4" s="64" t="s">
        <v>5</v>
      </c>
      <c r="E4" s="64" t="s">
        <v>6</v>
      </c>
    </row>
    <row r="5" spans="1:5" ht="28.8" x14ac:dyDescent="0.3">
      <c r="A5" s="65" t="s">
        <v>7</v>
      </c>
      <c r="B5" s="65" t="s">
        <v>8</v>
      </c>
      <c r="C5" s="65" t="s">
        <v>9</v>
      </c>
      <c r="D5" s="65" t="s">
        <v>10</v>
      </c>
      <c r="E5" s="65" t="s">
        <v>11</v>
      </c>
    </row>
    <row r="6" spans="1:5" ht="28.8" x14ac:dyDescent="0.3">
      <c r="A6" s="65" t="s">
        <v>7</v>
      </c>
      <c r="B6" s="65" t="s">
        <v>12</v>
      </c>
      <c r="C6" s="65" t="s">
        <v>13</v>
      </c>
      <c r="D6" s="65" t="s">
        <v>14</v>
      </c>
      <c r="E6" s="65" t="s">
        <v>15</v>
      </c>
    </row>
    <row r="7" spans="1:5" ht="43.2" x14ac:dyDescent="0.3">
      <c r="A7" s="65" t="s">
        <v>7</v>
      </c>
      <c r="B7" s="65" t="s">
        <v>16</v>
      </c>
      <c r="C7" s="65" t="s">
        <v>17</v>
      </c>
      <c r="D7" s="65" t="s">
        <v>18</v>
      </c>
      <c r="E7" s="65" t="s">
        <v>19</v>
      </c>
    </row>
    <row r="8" spans="1:5" ht="28.8" x14ac:dyDescent="0.3">
      <c r="A8" s="65" t="s">
        <v>7</v>
      </c>
      <c r="B8" s="65" t="s">
        <v>20</v>
      </c>
      <c r="C8" s="65" t="s">
        <v>21</v>
      </c>
      <c r="D8" s="65" t="s">
        <v>22</v>
      </c>
      <c r="E8" s="65" t="s">
        <v>23</v>
      </c>
    </row>
    <row r="9" spans="1:5" ht="28.8" x14ac:dyDescent="0.3">
      <c r="A9" s="65" t="s">
        <v>24</v>
      </c>
      <c r="B9" s="65" t="s">
        <v>25</v>
      </c>
      <c r="C9" s="65" t="s">
        <v>26</v>
      </c>
      <c r="D9" s="65" t="s">
        <v>27</v>
      </c>
      <c r="E9" s="65" t="s">
        <v>28</v>
      </c>
    </row>
    <row r="10" spans="1:5" ht="28.8" x14ac:dyDescent="0.3">
      <c r="A10" s="65" t="s">
        <v>24</v>
      </c>
      <c r="B10" s="65" t="s">
        <v>29</v>
      </c>
      <c r="C10" s="65" t="s">
        <v>30</v>
      </c>
      <c r="D10" s="65"/>
      <c r="E10" s="65" t="s">
        <v>31</v>
      </c>
    </row>
    <row r="11" spans="1:5" ht="43.2" x14ac:dyDescent="0.3">
      <c r="A11" s="65" t="s">
        <v>24</v>
      </c>
      <c r="B11" s="65" t="s">
        <v>32</v>
      </c>
      <c r="C11" s="65" t="s">
        <v>33</v>
      </c>
      <c r="D11" s="65" t="s">
        <v>34</v>
      </c>
      <c r="E11" s="65" t="s">
        <v>35</v>
      </c>
    </row>
    <row r="12" spans="1:5" ht="28.8" x14ac:dyDescent="0.3">
      <c r="A12" s="65" t="s">
        <v>24</v>
      </c>
      <c r="B12" s="65" t="s">
        <v>36</v>
      </c>
      <c r="C12" s="65" t="s">
        <v>37</v>
      </c>
      <c r="D12" s="65"/>
      <c r="E12" s="65" t="s">
        <v>38</v>
      </c>
    </row>
    <row r="13" spans="1:5" x14ac:dyDescent="0.3">
      <c r="A13" s="65" t="s">
        <v>24</v>
      </c>
      <c r="B13" s="65" t="s">
        <v>39</v>
      </c>
      <c r="C13" s="65" t="s">
        <v>40</v>
      </c>
      <c r="D13" s="65"/>
      <c r="E13" s="65" t="s">
        <v>41</v>
      </c>
    </row>
    <row r="14" spans="1:5" x14ac:dyDescent="0.3">
      <c r="A14" s="65" t="s">
        <v>24</v>
      </c>
      <c r="B14" s="65" t="s">
        <v>42</v>
      </c>
      <c r="C14" s="65" t="s">
        <v>43</v>
      </c>
      <c r="D14" s="65"/>
      <c r="E14" s="65" t="s">
        <v>44</v>
      </c>
    </row>
    <row r="15" spans="1:5" x14ac:dyDescent="0.3">
      <c r="A15" s="65" t="s">
        <v>24</v>
      </c>
      <c r="B15" s="65" t="s">
        <v>45</v>
      </c>
      <c r="C15" s="65" t="s">
        <v>46</v>
      </c>
      <c r="D15" s="65"/>
      <c r="E15" s="65" t="s">
        <v>41</v>
      </c>
    </row>
    <row r="16" spans="1:5" ht="28.8" x14ac:dyDescent="0.3">
      <c r="A16" s="65" t="s">
        <v>24</v>
      </c>
      <c r="B16" s="65" t="s">
        <v>47</v>
      </c>
      <c r="C16" s="65" t="s">
        <v>48</v>
      </c>
      <c r="D16" s="65" t="s">
        <v>22</v>
      </c>
      <c r="E16" s="65" t="s">
        <v>49</v>
      </c>
    </row>
    <row r="17" spans="1:5" ht="28.8" x14ac:dyDescent="0.3">
      <c r="A17" s="65" t="s">
        <v>50</v>
      </c>
      <c r="B17" s="65" t="s">
        <v>51</v>
      </c>
      <c r="C17" s="65" t="s">
        <v>52</v>
      </c>
      <c r="D17" s="65" t="s">
        <v>53</v>
      </c>
      <c r="E17" s="65" t="s">
        <v>54</v>
      </c>
    </row>
    <row r="18" spans="1:5" ht="28.8" x14ac:dyDescent="0.3">
      <c r="A18" s="65" t="s">
        <v>55</v>
      </c>
      <c r="B18" s="65" t="s">
        <v>56</v>
      </c>
      <c r="C18" s="65" t="s">
        <v>57</v>
      </c>
      <c r="D18" s="65" t="s">
        <v>58</v>
      </c>
      <c r="E18" s="65" t="s">
        <v>59</v>
      </c>
    </row>
    <row r="19" spans="1:5" ht="28.8" x14ac:dyDescent="0.3">
      <c r="A19" s="65" t="s">
        <v>55</v>
      </c>
      <c r="B19" s="65" t="s">
        <v>60</v>
      </c>
      <c r="C19" s="65" t="s">
        <v>61</v>
      </c>
      <c r="D19" s="65" t="s">
        <v>62</v>
      </c>
      <c r="E19" s="65" t="s">
        <v>63</v>
      </c>
    </row>
    <row r="20" spans="1:5" ht="28.8" x14ac:dyDescent="0.3">
      <c r="A20" s="65" t="s">
        <v>64</v>
      </c>
      <c r="B20" s="65" t="s">
        <v>65</v>
      </c>
      <c r="C20" s="65" t="s">
        <v>66</v>
      </c>
      <c r="D20" s="65" t="s">
        <v>67</v>
      </c>
      <c r="E20" s="65" t="s">
        <v>68</v>
      </c>
    </row>
    <row r="22" spans="1:5" x14ac:dyDescent="0.3">
      <c r="A22" s="59" t="s">
        <v>69</v>
      </c>
    </row>
    <row r="23" spans="1:5" x14ac:dyDescent="0.3">
      <c r="A23" s="60" t="s">
        <v>70</v>
      </c>
    </row>
  </sheetData>
  <mergeCells count="1">
    <mergeCell ref="A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0"/>
  <sheetViews>
    <sheetView zoomScaleNormal="100" workbookViewId="0"/>
  </sheetViews>
  <sheetFormatPr defaultColWidth="8.6640625" defaultRowHeight="14.4" x14ac:dyDescent="0.3"/>
  <cols>
    <col min="1" max="1" width="56.6640625" customWidth="1"/>
    <col min="2" max="4" width="15" customWidth="1"/>
  </cols>
  <sheetData>
    <row r="1" spans="1:4" ht="15" customHeight="1" x14ac:dyDescent="0.3">
      <c r="A1" s="72" t="s">
        <v>71</v>
      </c>
      <c r="B1" s="71"/>
      <c r="C1" s="71"/>
      <c r="D1" s="71"/>
    </row>
    <row r="2" spans="1:4" ht="15" customHeight="1" x14ac:dyDescent="0.3">
      <c r="A2" s="2" t="s">
        <v>72</v>
      </c>
    </row>
    <row r="4" spans="1:4" ht="15" customHeight="1" x14ac:dyDescent="0.3">
      <c r="A4" s="3" t="s">
        <v>73</v>
      </c>
      <c r="B4" s="1" t="s">
        <v>74</v>
      </c>
      <c r="C4" s="1" t="s">
        <v>75</v>
      </c>
      <c r="D4" s="1" t="s">
        <v>76</v>
      </c>
    </row>
    <row r="5" spans="1:4" ht="15" customHeight="1" x14ac:dyDescent="0.3">
      <c r="A5" s="73" t="s">
        <v>77</v>
      </c>
      <c r="B5" s="71"/>
      <c r="C5" s="71"/>
      <c r="D5" s="71"/>
    </row>
    <row r="6" spans="1:4" ht="15" customHeight="1" x14ac:dyDescent="0.3">
      <c r="A6" s="4" t="s">
        <v>78</v>
      </c>
      <c r="B6" s="5">
        <v>52</v>
      </c>
      <c r="C6" s="5">
        <v>52</v>
      </c>
      <c r="D6" s="5">
        <v>148</v>
      </c>
    </row>
    <row r="7" spans="1:4" ht="15" customHeight="1" x14ac:dyDescent="0.3">
      <c r="A7" s="4" t="s">
        <v>79</v>
      </c>
      <c r="B7" s="5">
        <v>7790</v>
      </c>
      <c r="C7" s="5">
        <v>4368</v>
      </c>
      <c r="D7" s="5">
        <v>16872</v>
      </c>
    </row>
    <row r="8" spans="1:4" ht="15" customHeight="1" x14ac:dyDescent="0.3">
      <c r="A8" s="4" t="s">
        <v>80</v>
      </c>
      <c r="B8" s="5">
        <v>38952</v>
      </c>
      <c r="C8" s="5">
        <v>24024</v>
      </c>
      <c r="D8" s="5">
        <v>118104</v>
      </c>
    </row>
    <row r="9" spans="1:4" ht="15" customHeight="1" x14ac:dyDescent="0.3">
      <c r="A9" s="73" t="s">
        <v>81</v>
      </c>
      <c r="B9" s="71"/>
      <c r="C9" s="71"/>
      <c r="D9" s="71"/>
    </row>
    <row r="10" spans="1:4" ht="15" customHeight="1" x14ac:dyDescent="0.3">
      <c r="A10" s="4" t="s">
        <v>82</v>
      </c>
      <c r="B10" s="6">
        <v>158968</v>
      </c>
      <c r="C10" s="6">
        <v>478348</v>
      </c>
      <c r="D10" s="6">
        <v>2645192</v>
      </c>
    </row>
    <row r="11" spans="1:4" ht="15" customHeight="1" x14ac:dyDescent="0.3">
      <c r="A11" s="4" t="s">
        <v>83</v>
      </c>
      <c r="B11" s="6">
        <v>42228</v>
      </c>
      <c r="C11" s="6">
        <v>102313</v>
      </c>
      <c r="D11" s="6">
        <v>592799</v>
      </c>
    </row>
    <row r="12" spans="1:4" ht="15" customHeight="1" x14ac:dyDescent="0.3">
      <c r="A12" s="4" t="s">
        <v>84</v>
      </c>
      <c r="B12" s="6">
        <v>33958</v>
      </c>
      <c r="C12" s="6">
        <v>110512</v>
      </c>
      <c r="D12" s="6">
        <v>757303</v>
      </c>
    </row>
    <row r="13" spans="1:4" ht="15" customHeight="1" x14ac:dyDescent="0.3">
      <c r="A13" s="7" t="s">
        <v>85</v>
      </c>
      <c r="B13" s="8">
        <v>235154</v>
      </c>
      <c r="C13" s="8">
        <v>691173</v>
      </c>
      <c r="D13" s="8">
        <v>3995294</v>
      </c>
    </row>
    <row r="14" spans="1:4" ht="15" customHeight="1" x14ac:dyDescent="0.3">
      <c r="A14" s="73" t="s">
        <v>86</v>
      </c>
      <c r="B14" s="71"/>
      <c r="C14" s="71"/>
      <c r="D14" s="71"/>
    </row>
    <row r="15" spans="1:4" ht="15" customHeight="1" x14ac:dyDescent="0.3">
      <c r="A15" s="4" t="s">
        <v>87</v>
      </c>
      <c r="B15" s="6">
        <v>1545</v>
      </c>
      <c r="C15" s="6">
        <v>2358</v>
      </c>
      <c r="D15" s="6">
        <v>3108</v>
      </c>
    </row>
    <row r="16" spans="1:4" ht="15" customHeight="1" x14ac:dyDescent="0.3">
      <c r="A16" s="4" t="s">
        <v>88</v>
      </c>
      <c r="B16" s="6">
        <v>0</v>
      </c>
      <c r="C16" s="6">
        <v>1200</v>
      </c>
      <c r="D16" s="6">
        <v>1200</v>
      </c>
    </row>
    <row r="17" spans="1:4" ht="15" customHeight="1" x14ac:dyDescent="0.3">
      <c r="A17" s="4" t="s">
        <v>89</v>
      </c>
      <c r="B17" s="6">
        <v>0</v>
      </c>
      <c r="C17" s="6">
        <v>1622</v>
      </c>
      <c r="D17" s="6">
        <v>1622</v>
      </c>
    </row>
    <row r="18" spans="1:4" ht="15" customHeight="1" x14ac:dyDescent="0.3">
      <c r="A18" s="4" t="s">
        <v>90</v>
      </c>
      <c r="B18" s="5">
        <f>B13*Assumptions!$B$36</f>
        <v>8959.367400000001</v>
      </c>
      <c r="C18" s="5">
        <f>C13*Assumptions!$B$36</f>
        <v>26333.691300000002</v>
      </c>
      <c r="D18" s="5">
        <f>D13*Assumptions!$B$36</f>
        <v>152220.70140000002</v>
      </c>
    </row>
    <row r="19" spans="1:4" ht="15" customHeight="1" x14ac:dyDescent="0.3">
      <c r="A19" s="4" t="s">
        <v>91</v>
      </c>
      <c r="B19" s="66">
        <v>627</v>
      </c>
      <c r="C19" s="66">
        <v>1292</v>
      </c>
      <c r="D19" s="66">
        <v>8398</v>
      </c>
    </row>
    <row r="20" spans="1:4" ht="15" customHeight="1" x14ac:dyDescent="0.3">
      <c r="A20" s="7" t="s">
        <v>92</v>
      </c>
      <c r="B20" s="67">
        <f>SUM(B15:B19)</f>
        <v>11131.367400000001</v>
      </c>
      <c r="C20" s="67">
        <f>SUM(C15:C19)</f>
        <v>32805.691300000006</v>
      </c>
      <c r="D20" s="67">
        <f>SUM(D15:D19)</f>
        <v>166548.70140000002</v>
      </c>
    </row>
    <row r="21" spans="1:4" ht="15" customHeight="1" x14ac:dyDescent="0.3">
      <c r="A21" s="7" t="s">
        <v>93</v>
      </c>
      <c r="B21" s="67">
        <f>B13-B20</f>
        <v>224022.63260000001</v>
      </c>
      <c r="C21" s="67">
        <f>C13-C20</f>
        <v>658367.30869999994</v>
      </c>
      <c r="D21" s="67">
        <f>D13-D20</f>
        <v>3828745.2985999999</v>
      </c>
    </row>
    <row r="22" spans="1:4" ht="15" customHeight="1" x14ac:dyDescent="0.3">
      <c r="A22" s="4" t="s">
        <v>94</v>
      </c>
      <c r="B22" s="68">
        <f>B21/B13</f>
        <v>0.95266349966404995</v>
      </c>
      <c r="C22" s="68">
        <f>C21/C13</f>
        <v>0.95253620830096075</v>
      </c>
      <c r="D22" s="68">
        <f>D21/D13</f>
        <v>0.95831378081312657</v>
      </c>
    </row>
    <row r="23" spans="1:4" ht="15" customHeight="1" x14ac:dyDescent="0.3">
      <c r="A23" s="73" t="s">
        <v>95</v>
      </c>
      <c r="B23" s="71"/>
      <c r="C23" s="71"/>
      <c r="D23" s="71"/>
    </row>
    <row r="24" spans="1:4" ht="15" customHeight="1" x14ac:dyDescent="0.3">
      <c r="A24" s="10" t="s">
        <v>96</v>
      </c>
      <c r="B24" s="11">
        <v>0.67600000000000005</v>
      </c>
      <c r="C24" s="11">
        <v>0.69199999999999995</v>
      </c>
      <c r="D24" s="11">
        <v>0.66200000000000003</v>
      </c>
    </row>
    <row r="25" spans="1:4" ht="15" customHeight="1" x14ac:dyDescent="0.3">
      <c r="A25" s="10" t="s">
        <v>97</v>
      </c>
      <c r="B25" s="11">
        <v>0.18</v>
      </c>
      <c r="C25" s="11">
        <v>0.14799999999999999</v>
      </c>
      <c r="D25" s="11">
        <v>0.14799999999999999</v>
      </c>
    </row>
    <row r="26" spans="1:4" ht="15" customHeight="1" x14ac:dyDescent="0.3">
      <c r="A26" s="10" t="s">
        <v>98</v>
      </c>
      <c r="B26" s="11">
        <v>0.14399999999999999</v>
      </c>
      <c r="C26" s="11">
        <v>0.16</v>
      </c>
      <c r="D26" s="11">
        <v>0.19</v>
      </c>
    </row>
    <row r="27" spans="1:4" ht="15" customHeight="1" x14ac:dyDescent="0.3">
      <c r="A27" s="73" t="s">
        <v>99</v>
      </c>
      <c r="B27" s="71"/>
      <c r="C27" s="71"/>
      <c r="D27" s="71"/>
    </row>
    <row r="28" spans="1:4" ht="15" customHeight="1" x14ac:dyDescent="0.3">
      <c r="A28" s="4" t="s">
        <v>100</v>
      </c>
      <c r="B28" s="6">
        <v>30</v>
      </c>
      <c r="C28" s="6">
        <v>158</v>
      </c>
      <c r="D28" s="6">
        <v>237</v>
      </c>
    </row>
    <row r="29" spans="1:4" ht="15" customHeight="1" x14ac:dyDescent="0.3">
      <c r="A29" s="4" t="s">
        <v>101</v>
      </c>
      <c r="B29" s="69">
        <f>B20/B7</f>
        <v>1.4289303465982031</v>
      </c>
      <c r="C29" s="69">
        <f>C20/C7</f>
        <v>7.5104604624542137</v>
      </c>
      <c r="D29" s="69">
        <f>D20/D7</f>
        <v>9.8713075746799444</v>
      </c>
    </row>
    <row r="30" spans="1:4" ht="15" customHeight="1" x14ac:dyDescent="0.3">
      <c r="A30" s="4" t="s">
        <v>102</v>
      </c>
      <c r="B30" s="5">
        <v>1757</v>
      </c>
      <c r="C30" s="5">
        <v>1757</v>
      </c>
      <c r="D30" s="5">
        <v>1757</v>
      </c>
    </row>
  </sheetData>
  <mergeCells count="6">
    <mergeCell ref="A1:D1"/>
    <mergeCell ref="A23:D23"/>
    <mergeCell ref="A9:D9"/>
    <mergeCell ref="A27:D27"/>
    <mergeCell ref="A5:D5"/>
    <mergeCell ref="A14:D1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"/>
  <sheetViews>
    <sheetView zoomScaleNormal="100" workbookViewId="0">
      <selection sqref="A1:M1"/>
    </sheetView>
  </sheetViews>
  <sheetFormatPr defaultColWidth="8.6640625" defaultRowHeight="14.4" x14ac:dyDescent="0.3"/>
  <cols>
    <col min="1" max="1" width="5" customWidth="1"/>
    <col min="2" max="2" width="7" customWidth="1"/>
    <col min="3" max="4" width="9" customWidth="1"/>
    <col min="5" max="6" width="10" customWidth="1"/>
    <col min="7" max="7" width="9" customWidth="1"/>
    <col min="8" max="8" width="11" customWidth="1"/>
    <col min="9" max="9" width="9" customWidth="1"/>
    <col min="10" max="10" width="10" customWidth="1"/>
    <col min="11" max="13" width="6" customWidth="1"/>
  </cols>
  <sheetData>
    <row r="1" spans="1:13" ht="15" customHeight="1" x14ac:dyDescent="0.3">
      <c r="A1" s="72" t="s">
        <v>103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</row>
    <row r="2" spans="1:13" ht="15" customHeight="1" x14ac:dyDescent="0.3">
      <c r="A2" s="2" t="s">
        <v>104</v>
      </c>
    </row>
    <row r="4" spans="1:13" ht="15" customHeight="1" x14ac:dyDescent="0.3">
      <c r="A4" s="1" t="s">
        <v>105</v>
      </c>
      <c r="B4" s="1" t="s">
        <v>106</v>
      </c>
      <c r="C4" s="1" t="s">
        <v>107</v>
      </c>
      <c r="D4" s="1" t="s">
        <v>108</v>
      </c>
      <c r="E4" s="1" t="s">
        <v>109</v>
      </c>
      <c r="F4" s="1" t="s">
        <v>110</v>
      </c>
      <c r="G4" s="1" t="s">
        <v>111</v>
      </c>
      <c r="H4" s="1" t="s">
        <v>112</v>
      </c>
      <c r="I4" s="1" t="s">
        <v>113</v>
      </c>
      <c r="J4" s="1" t="s">
        <v>114</v>
      </c>
      <c r="K4" s="1" t="s">
        <v>115</v>
      </c>
      <c r="L4" s="1" t="s">
        <v>116</v>
      </c>
      <c r="M4" s="1" t="s">
        <v>117</v>
      </c>
    </row>
    <row r="5" spans="1:13" ht="15" customHeight="1" x14ac:dyDescent="0.3">
      <c r="A5" s="12">
        <v>1</v>
      </c>
      <c r="B5" s="12">
        <v>1</v>
      </c>
      <c r="C5" s="13">
        <v>64</v>
      </c>
      <c r="D5" s="13">
        <v>144</v>
      </c>
      <c r="E5" s="14">
        <v>388</v>
      </c>
      <c r="F5" s="14">
        <v>30</v>
      </c>
      <c r="G5" s="14">
        <v>39</v>
      </c>
      <c r="H5" s="14">
        <v>457</v>
      </c>
      <c r="I5" s="14">
        <v>37</v>
      </c>
      <c r="J5" s="14">
        <v>420</v>
      </c>
      <c r="K5" s="15">
        <v>0.85</v>
      </c>
      <c r="L5" s="15">
        <v>7.0000000000000007E-2</v>
      </c>
      <c r="M5" s="15">
        <v>0.08</v>
      </c>
    </row>
    <row r="6" spans="1:13" ht="15" customHeight="1" x14ac:dyDescent="0.3">
      <c r="A6" s="16">
        <v>2</v>
      </c>
      <c r="B6" s="16">
        <v>1</v>
      </c>
      <c r="C6" s="5">
        <v>69</v>
      </c>
      <c r="D6" s="5">
        <v>172</v>
      </c>
      <c r="E6" s="6">
        <v>416</v>
      </c>
      <c r="F6" s="6">
        <v>38</v>
      </c>
      <c r="G6" s="6">
        <v>46</v>
      </c>
      <c r="H6" s="6">
        <v>500</v>
      </c>
      <c r="I6" s="6">
        <v>37</v>
      </c>
      <c r="J6" s="6">
        <v>463</v>
      </c>
      <c r="K6" s="17">
        <v>0.83</v>
      </c>
      <c r="L6" s="17">
        <v>0.08</v>
      </c>
      <c r="M6" s="17">
        <v>0.09</v>
      </c>
    </row>
    <row r="7" spans="1:13" ht="15" customHeight="1" x14ac:dyDescent="0.3">
      <c r="A7" s="12">
        <v>3</v>
      </c>
      <c r="B7" s="12">
        <v>1</v>
      </c>
      <c r="C7" s="13">
        <v>74</v>
      </c>
      <c r="D7" s="13">
        <v>203</v>
      </c>
      <c r="E7" s="14">
        <v>447</v>
      </c>
      <c r="F7" s="14">
        <v>48</v>
      </c>
      <c r="G7" s="14">
        <v>54</v>
      </c>
      <c r="H7" s="14">
        <v>549</v>
      </c>
      <c r="I7" s="14">
        <v>37</v>
      </c>
      <c r="J7" s="14">
        <v>512</v>
      </c>
      <c r="K7" s="15">
        <v>0.81</v>
      </c>
      <c r="L7" s="15">
        <v>0.09</v>
      </c>
      <c r="M7" s="15">
        <v>0.1</v>
      </c>
    </row>
    <row r="8" spans="1:13" ht="15" customHeight="1" x14ac:dyDescent="0.3">
      <c r="A8" s="16">
        <v>4</v>
      </c>
      <c r="B8" s="16">
        <v>4</v>
      </c>
      <c r="C8" s="5">
        <v>318</v>
      </c>
      <c r="D8" s="5">
        <v>954</v>
      </c>
      <c r="E8" s="6">
        <v>1922</v>
      </c>
      <c r="F8" s="6">
        <v>242</v>
      </c>
      <c r="G8" s="6">
        <v>254</v>
      </c>
      <c r="H8" s="6">
        <v>2417</v>
      </c>
      <c r="I8" s="6">
        <v>140</v>
      </c>
      <c r="J8" s="6">
        <v>2277</v>
      </c>
      <c r="K8" s="17">
        <v>0.8</v>
      </c>
      <c r="L8" s="17">
        <v>0.1</v>
      </c>
      <c r="M8" s="17">
        <v>0.1</v>
      </c>
    </row>
    <row r="9" spans="1:13" ht="15" customHeight="1" x14ac:dyDescent="0.3">
      <c r="A9" s="12">
        <v>5</v>
      </c>
      <c r="B9" s="12">
        <v>4</v>
      </c>
      <c r="C9" s="13">
        <v>343</v>
      </c>
      <c r="D9" s="13">
        <v>1113</v>
      </c>
      <c r="E9" s="14">
        <v>2071</v>
      </c>
      <c r="F9" s="14">
        <v>300</v>
      </c>
      <c r="G9" s="14">
        <v>298</v>
      </c>
      <c r="H9" s="14">
        <v>2668</v>
      </c>
      <c r="I9" s="14">
        <v>140</v>
      </c>
      <c r="J9" s="14">
        <v>2528</v>
      </c>
      <c r="K9" s="15">
        <v>0.78</v>
      </c>
      <c r="L9" s="15">
        <v>0.11</v>
      </c>
      <c r="M9" s="15">
        <v>0.11</v>
      </c>
    </row>
    <row r="10" spans="1:13" ht="15" customHeight="1" x14ac:dyDescent="0.3">
      <c r="A10" s="16">
        <v>6</v>
      </c>
      <c r="B10" s="16">
        <v>4</v>
      </c>
      <c r="C10" s="5">
        <v>370</v>
      </c>
      <c r="D10" s="5">
        <v>1294</v>
      </c>
      <c r="E10" s="6">
        <v>2234</v>
      </c>
      <c r="F10" s="6">
        <v>369</v>
      </c>
      <c r="G10" s="6">
        <v>349</v>
      </c>
      <c r="H10" s="6">
        <v>2952</v>
      </c>
      <c r="I10" s="6">
        <v>140</v>
      </c>
      <c r="J10" s="6">
        <v>2812</v>
      </c>
      <c r="K10" s="17">
        <v>0.76</v>
      </c>
      <c r="L10" s="17">
        <v>0.12</v>
      </c>
      <c r="M10" s="17">
        <v>0.12</v>
      </c>
    </row>
    <row r="11" spans="1:13" ht="15" customHeight="1" x14ac:dyDescent="0.3">
      <c r="A11" s="12">
        <v>7</v>
      </c>
      <c r="B11" s="12">
        <v>12</v>
      </c>
      <c r="C11" s="13">
        <v>1198</v>
      </c>
      <c r="D11" s="13">
        <v>4493</v>
      </c>
      <c r="E11" s="14">
        <v>7243</v>
      </c>
      <c r="F11" s="14">
        <v>1353</v>
      </c>
      <c r="G11" s="14">
        <v>1223</v>
      </c>
      <c r="H11" s="14">
        <v>9818</v>
      </c>
      <c r="I11" s="14">
        <v>148</v>
      </c>
      <c r="J11" s="14">
        <v>9670</v>
      </c>
      <c r="K11" s="15">
        <v>0.74</v>
      </c>
      <c r="L11" s="15">
        <v>0.14000000000000001</v>
      </c>
      <c r="M11" s="15">
        <v>0.12</v>
      </c>
    </row>
    <row r="12" spans="1:13" ht="15" customHeight="1" x14ac:dyDescent="0.3">
      <c r="A12" s="16">
        <v>8</v>
      </c>
      <c r="B12" s="16">
        <v>20</v>
      </c>
      <c r="C12" s="5">
        <v>2161</v>
      </c>
      <c r="D12" s="5">
        <v>8642</v>
      </c>
      <c r="E12" s="6">
        <v>13061</v>
      </c>
      <c r="F12" s="6">
        <v>2739</v>
      </c>
      <c r="G12" s="6">
        <v>2380</v>
      </c>
      <c r="H12" s="6">
        <v>18179</v>
      </c>
      <c r="I12" s="6">
        <v>156</v>
      </c>
      <c r="J12" s="6">
        <v>18023</v>
      </c>
      <c r="K12" s="17">
        <v>0.72</v>
      </c>
      <c r="L12" s="17">
        <v>0.15</v>
      </c>
      <c r="M12" s="17">
        <v>0.13</v>
      </c>
    </row>
    <row r="13" spans="1:13" ht="15" customHeight="1" x14ac:dyDescent="0.3">
      <c r="A13" s="12">
        <v>9</v>
      </c>
      <c r="B13" s="12">
        <v>28</v>
      </c>
      <c r="C13" s="13">
        <v>3277</v>
      </c>
      <c r="D13" s="13">
        <v>13927</v>
      </c>
      <c r="E13" s="14">
        <v>19809</v>
      </c>
      <c r="F13" s="14">
        <v>4634</v>
      </c>
      <c r="G13" s="14">
        <v>3884</v>
      </c>
      <c r="H13" s="14">
        <v>28327</v>
      </c>
      <c r="I13" s="14">
        <v>164</v>
      </c>
      <c r="J13" s="14">
        <v>28163</v>
      </c>
      <c r="K13" s="15">
        <v>0.7</v>
      </c>
      <c r="L13" s="15">
        <v>0.16</v>
      </c>
      <c r="M13" s="15">
        <v>0.14000000000000001</v>
      </c>
    </row>
    <row r="14" spans="1:13" ht="15" customHeight="1" x14ac:dyDescent="0.3">
      <c r="A14" s="16">
        <v>10</v>
      </c>
      <c r="B14" s="16">
        <v>36</v>
      </c>
      <c r="C14" s="5">
        <v>4570</v>
      </c>
      <c r="D14" s="5">
        <v>20564</v>
      </c>
      <c r="E14" s="6">
        <v>27624</v>
      </c>
      <c r="F14" s="6">
        <v>7168</v>
      </c>
      <c r="G14" s="6">
        <v>5816</v>
      </c>
      <c r="H14" s="6">
        <v>40608</v>
      </c>
      <c r="I14" s="6">
        <v>172</v>
      </c>
      <c r="J14" s="6">
        <v>40436</v>
      </c>
      <c r="K14" s="17">
        <v>0.68</v>
      </c>
      <c r="L14" s="17">
        <v>0.18</v>
      </c>
      <c r="M14" s="17">
        <v>0.14000000000000001</v>
      </c>
    </row>
    <row r="15" spans="1:13" ht="15" customHeight="1" x14ac:dyDescent="0.3">
      <c r="A15" s="12">
        <v>11</v>
      </c>
      <c r="B15" s="12">
        <v>44</v>
      </c>
      <c r="C15" s="13">
        <v>6065</v>
      </c>
      <c r="D15" s="13">
        <v>28807</v>
      </c>
      <c r="E15" s="14">
        <v>36660</v>
      </c>
      <c r="F15" s="14">
        <v>10497</v>
      </c>
      <c r="G15" s="14">
        <v>8267</v>
      </c>
      <c r="H15" s="14">
        <v>55425</v>
      </c>
      <c r="I15" s="14">
        <v>180</v>
      </c>
      <c r="J15" s="14">
        <v>55245</v>
      </c>
      <c r="K15" s="15">
        <v>0.66</v>
      </c>
      <c r="L15" s="15">
        <v>0.19</v>
      </c>
      <c r="M15" s="15">
        <v>0.15</v>
      </c>
    </row>
    <row r="16" spans="1:13" ht="15" customHeight="1" x14ac:dyDescent="0.3">
      <c r="A16" s="16">
        <v>12</v>
      </c>
      <c r="B16" s="16">
        <v>52</v>
      </c>
      <c r="C16" s="5">
        <v>7790</v>
      </c>
      <c r="D16" s="5">
        <v>38952</v>
      </c>
      <c r="E16" s="6">
        <v>47093</v>
      </c>
      <c r="F16" s="6">
        <v>14811</v>
      </c>
      <c r="G16" s="6">
        <v>11350</v>
      </c>
      <c r="H16" s="6">
        <v>73254</v>
      </c>
      <c r="I16" s="6">
        <v>188</v>
      </c>
      <c r="J16" s="6">
        <v>73066</v>
      </c>
      <c r="K16" s="17">
        <v>0.64</v>
      </c>
      <c r="L16" s="17">
        <v>0.2</v>
      </c>
      <c r="M16" s="17">
        <v>0.15</v>
      </c>
    </row>
    <row r="17" spans="1:13" ht="15" customHeight="1" x14ac:dyDescent="0.3">
      <c r="A17" s="7" t="s">
        <v>118</v>
      </c>
      <c r="B17" s="18"/>
      <c r="E17" s="8">
        <v>158968</v>
      </c>
      <c r="F17" s="8">
        <v>42228</v>
      </c>
      <c r="G17" s="8">
        <v>33958</v>
      </c>
      <c r="H17" s="8">
        <v>235154</v>
      </c>
      <c r="I17" s="8">
        <v>1545</v>
      </c>
      <c r="J17" s="8">
        <v>233609</v>
      </c>
      <c r="K17" s="19">
        <v>0.68</v>
      </c>
      <c r="L17" s="19">
        <v>0.18</v>
      </c>
      <c r="M17" s="19">
        <v>0.14000000000000001</v>
      </c>
    </row>
    <row r="19" spans="1:13" x14ac:dyDescent="0.3">
      <c r="A19" s="74" t="s">
        <v>119</v>
      </c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</row>
    <row r="20" spans="1:13" x14ac:dyDescent="0.3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</row>
  </sheetData>
  <mergeCells count="2">
    <mergeCell ref="A19:M20"/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zoomScaleNormal="100" workbookViewId="0">
      <selection sqref="A1:F1"/>
    </sheetView>
  </sheetViews>
  <sheetFormatPr defaultColWidth="8.6640625" defaultRowHeight="14.4" x14ac:dyDescent="0.3"/>
  <cols>
    <col min="1" max="1" width="40" customWidth="1"/>
    <col min="2" max="6" width="13" customWidth="1"/>
  </cols>
  <sheetData>
    <row r="1" spans="1:6" ht="15" customHeight="1" x14ac:dyDescent="0.3">
      <c r="A1" s="72" t="s">
        <v>120</v>
      </c>
      <c r="B1" s="71"/>
      <c r="C1" s="71"/>
      <c r="D1" s="71"/>
      <c r="E1" s="71"/>
      <c r="F1" s="71"/>
    </row>
    <row r="2" spans="1:6" ht="15" customHeight="1" x14ac:dyDescent="0.3">
      <c r="A2" s="2" t="s">
        <v>121</v>
      </c>
    </row>
    <row r="4" spans="1:6" ht="15" customHeight="1" x14ac:dyDescent="0.3">
      <c r="A4" s="1" t="s">
        <v>122</v>
      </c>
      <c r="B4" s="1" t="s">
        <v>123</v>
      </c>
      <c r="C4" s="1" t="s">
        <v>124</v>
      </c>
      <c r="D4" s="1" t="s">
        <v>125</v>
      </c>
      <c r="E4" s="1" t="s">
        <v>126</v>
      </c>
      <c r="F4" s="1" t="s">
        <v>127</v>
      </c>
    </row>
    <row r="5" spans="1:6" ht="15" customHeight="1" x14ac:dyDescent="0.3">
      <c r="A5" s="10" t="s">
        <v>128</v>
      </c>
      <c r="B5" s="20">
        <v>0.08</v>
      </c>
      <c r="C5" s="20">
        <v>0.02</v>
      </c>
      <c r="D5" s="14">
        <v>67</v>
      </c>
      <c r="E5" s="21">
        <v>0.24</v>
      </c>
      <c r="F5" s="20">
        <v>0.99641791044776096</v>
      </c>
    </row>
    <row r="6" spans="1:6" ht="15" customHeight="1" x14ac:dyDescent="0.3">
      <c r="A6" s="4" t="s">
        <v>129</v>
      </c>
      <c r="B6" s="9">
        <v>0.1</v>
      </c>
      <c r="C6" s="9">
        <v>0.03</v>
      </c>
      <c r="D6" s="6">
        <v>295</v>
      </c>
      <c r="E6" s="22">
        <v>1.06</v>
      </c>
      <c r="F6" s="9">
        <v>0.99640677966101698</v>
      </c>
    </row>
    <row r="7" spans="1:6" ht="15" customHeight="1" x14ac:dyDescent="0.3">
      <c r="A7" s="10" t="s">
        <v>130</v>
      </c>
      <c r="B7" s="20">
        <v>0.14000000000000001</v>
      </c>
      <c r="C7" s="20">
        <v>0.05</v>
      </c>
      <c r="D7" s="14">
        <v>8200</v>
      </c>
      <c r="E7" s="21">
        <v>29.5</v>
      </c>
      <c r="F7" s="20">
        <v>0.99640243902438996</v>
      </c>
    </row>
    <row r="8" spans="1:6" ht="15" customHeight="1" x14ac:dyDescent="0.3">
      <c r="A8" s="4" t="s">
        <v>131</v>
      </c>
      <c r="B8" s="9">
        <v>0.2</v>
      </c>
      <c r="C8" s="9">
        <v>7.0000000000000007E-2</v>
      </c>
      <c r="D8" s="6">
        <v>11400</v>
      </c>
      <c r="E8" s="22">
        <v>41</v>
      </c>
      <c r="F8" s="9">
        <v>0.99640350877192996</v>
      </c>
    </row>
    <row r="9" spans="1:6" ht="15" customHeight="1" x14ac:dyDescent="0.3">
      <c r="A9" s="10" t="s">
        <v>132</v>
      </c>
      <c r="B9" s="20">
        <v>0.35</v>
      </c>
      <c r="C9" s="20">
        <v>0.1</v>
      </c>
      <c r="D9" s="14">
        <v>63000</v>
      </c>
      <c r="E9" s="21">
        <v>226.8</v>
      </c>
      <c r="F9" s="20">
        <v>0.99639999999999995</v>
      </c>
    </row>
    <row r="10" spans="1:6" ht="15" customHeight="1" x14ac:dyDescent="0.3">
      <c r="A10" s="4" t="s">
        <v>133</v>
      </c>
      <c r="B10" s="9">
        <v>0.6</v>
      </c>
      <c r="C10" s="9">
        <v>0.15</v>
      </c>
      <c r="D10" s="6">
        <v>108000</v>
      </c>
      <c r="E10" s="22">
        <v>388.8</v>
      </c>
      <c r="F10" s="9">
        <v>0.99639999999999995</v>
      </c>
    </row>
    <row r="12" spans="1:6" ht="15" customHeight="1" x14ac:dyDescent="0.3">
      <c r="A12" s="73" t="s">
        <v>134</v>
      </c>
      <c r="B12" s="71"/>
      <c r="C12" s="71"/>
      <c r="D12" s="71"/>
      <c r="E12" s="71"/>
      <c r="F12" s="71"/>
    </row>
    <row r="13" spans="1:6" ht="15" customHeight="1" x14ac:dyDescent="0.3">
      <c r="A13" s="75" t="s">
        <v>135</v>
      </c>
      <c r="B13" s="71"/>
      <c r="C13" s="71"/>
      <c r="D13" s="71"/>
      <c r="E13" s="71"/>
      <c r="F13" s="71"/>
    </row>
    <row r="14" spans="1:6" ht="15" customHeight="1" x14ac:dyDescent="0.3">
      <c r="A14" s="75" t="s">
        <v>136</v>
      </c>
      <c r="B14" s="71"/>
      <c r="C14" s="71"/>
      <c r="D14" s="71"/>
      <c r="E14" s="71"/>
      <c r="F14" s="71"/>
    </row>
    <row r="15" spans="1:6" ht="15" customHeight="1" x14ac:dyDescent="0.3">
      <c r="A15" s="75" t="s">
        <v>137</v>
      </c>
      <c r="B15" s="71"/>
      <c r="C15" s="71"/>
      <c r="D15" s="71"/>
      <c r="E15" s="71"/>
      <c r="F15" s="71"/>
    </row>
    <row r="16" spans="1:6" ht="15" customHeight="1" x14ac:dyDescent="0.3">
      <c r="A16" s="75" t="s">
        <v>138</v>
      </c>
      <c r="B16" s="71"/>
      <c r="C16" s="71"/>
      <c r="D16" s="71"/>
      <c r="E16" s="71"/>
      <c r="F16" s="71"/>
    </row>
    <row r="17" spans="1:6" ht="15" customHeight="1" x14ac:dyDescent="0.3">
      <c r="A17" s="75" t="s">
        <v>139</v>
      </c>
      <c r="B17" s="71"/>
      <c r="C17" s="71"/>
      <c r="D17" s="71"/>
      <c r="E17" s="71"/>
      <c r="F17" s="71"/>
    </row>
    <row r="18" spans="1:6" ht="15" customHeight="1" x14ac:dyDescent="0.3">
      <c r="A18" s="75" t="s">
        <v>140</v>
      </c>
      <c r="B18" s="71"/>
      <c r="C18" s="71"/>
      <c r="D18" s="71"/>
      <c r="E18" s="71"/>
      <c r="F18" s="71"/>
    </row>
    <row r="19" spans="1:6" ht="15" customHeight="1" x14ac:dyDescent="0.3">
      <c r="A19" s="23" t="s">
        <v>141</v>
      </c>
    </row>
    <row r="21" spans="1:6" x14ac:dyDescent="0.3">
      <c r="A21" s="60" t="s">
        <v>142</v>
      </c>
    </row>
  </sheetData>
  <mergeCells count="8">
    <mergeCell ref="A18:F18"/>
    <mergeCell ref="A15:F15"/>
    <mergeCell ref="A16:F16"/>
    <mergeCell ref="A13:F13"/>
    <mergeCell ref="A14:F14"/>
    <mergeCell ref="A1:F1"/>
    <mergeCell ref="A17:F17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0"/>
  <sheetViews>
    <sheetView zoomScaleNormal="100" workbookViewId="0">
      <selection sqref="A1:C1"/>
    </sheetView>
  </sheetViews>
  <sheetFormatPr defaultColWidth="8.6640625" defaultRowHeight="14.4" x14ac:dyDescent="0.3"/>
  <cols>
    <col min="1" max="1" width="42" customWidth="1"/>
    <col min="2" max="2" width="15" customWidth="1"/>
    <col min="3" max="3" width="50" customWidth="1"/>
  </cols>
  <sheetData>
    <row r="1" spans="1:3" ht="15" customHeight="1" x14ac:dyDescent="0.3">
      <c r="A1" s="72" t="s">
        <v>143</v>
      </c>
      <c r="B1" s="71"/>
      <c r="C1" s="71"/>
    </row>
    <row r="2" spans="1:3" ht="15" customHeight="1" x14ac:dyDescent="0.3">
      <c r="A2" s="2" t="s">
        <v>144</v>
      </c>
    </row>
    <row r="4" spans="1:3" ht="15" customHeight="1" x14ac:dyDescent="0.3">
      <c r="A4" s="73" t="s">
        <v>145</v>
      </c>
      <c r="B4" s="71"/>
      <c r="C4" s="71"/>
    </row>
    <row r="5" spans="1:3" ht="15" customHeight="1" x14ac:dyDescent="0.3">
      <c r="A5" s="4" t="s">
        <v>146</v>
      </c>
      <c r="B5" s="24">
        <v>0</v>
      </c>
      <c r="C5" s="2" t="s">
        <v>147</v>
      </c>
    </row>
    <row r="6" spans="1:3" ht="15" customHeight="1" x14ac:dyDescent="0.3">
      <c r="A6" s="4" t="s">
        <v>148</v>
      </c>
      <c r="B6" s="24">
        <v>5</v>
      </c>
      <c r="C6" s="2" t="s">
        <v>149</v>
      </c>
    </row>
    <row r="7" spans="1:3" ht="15" customHeight="1" x14ac:dyDescent="0.3">
      <c r="A7" s="4" t="s">
        <v>150</v>
      </c>
      <c r="B7" s="24">
        <v>20</v>
      </c>
      <c r="C7" s="2" t="s">
        <v>151</v>
      </c>
    </row>
    <row r="8" spans="1:3" ht="15" customHeight="1" x14ac:dyDescent="0.3">
      <c r="A8" s="4" t="s">
        <v>152</v>
      </c>
      <c r="B8" s="24">
        <v>0</v>
      </c>
      <c r="C8" s="2" t="s">
        <v>153</v>
      </c>
    </row>
    <row r="9" spans="1:3" ht="15" customHeight="1" x14ac:dyDescent="0.3">
      <c r="A9" s="73" t="s">
        <v>154</v>
      </c>
      <c r="B9" s="71"/>
      <c r="C9" s="71"/>
    </row>
    <row r="10" spans="1:3" ht="15" customHeight="1" x14ac:dyDescent="0.3">
      <c r="A10" s="4" t="s">
        <v>155</v>
      </c>
      <c r="B10" s="25">
        <v>0.65</v>
      </c>
      <c r="C10" s="2" t="s">
        <v>156</v>
      </c>
    </row>
    <row r="11" spans="1:3" ht="15" customHeight="1" x14ac:dyDescent="0.3">
      <c r="A11" s="4" t="s">
        <v>157</v>
      </c>
      <c r="B11" s="25">
        <v>0.25</v>
      </c>
    </row>
    <row r="12" spans="1:3" ht="15" customHeight="1" x14ac:dyDescent="0.3">
      <c r="A12" s="4" t="s">
        <v>158</v>
      </c>
      <c r="B12" s="25">
        <v>0.08</v>
      </c>
    </row>
    <row r="13" spans="1:3" ht="15" customHeight="1" x14ac:dyDescent="0.3">
      <c r="A13" s="4" t="s">
        <v>159</v>
      </c>
      <c r="B13" s="25">
        <v>0.02</v>
      </c>
    </row>
    <row r="14" spans="1:3" ht="15" customHeight="1" x14ac:dyDescent="0.3">
      <c r="A14" s="4" t="s">
        <v>160</v>
      </c>
      <c r="B14" s="25"/>
      <c r="C14" t="s">
        <v>161</v>
      </c>
    </row>
    <row r="15" spans="1:3" ht="15" customHeight="1" x14ac:dyDescent="0.3">
      <c r="A15" s="73" t="s">
        <v>162</v>
      </c>
      <c r="B15" s="71"/>
      <c r="C15" s="71"/>
    </row>
    <row r="16" spans="1:3" ht="15" customHeight="1" x14ac:dyDescent="0.3">
      <c r="A16" s="4" t="s">
        <v>163</v>
      </c>
      <c r="B16" s="24">
        <v>2</v>
      </c>
      <c r="C16" s="2" t="s">
        <v>164</v>
      </c>
    </row>
    <row r="17" spans="1:3" ht="15" customHeight="1" x14ac:dyDescent="0.3">
      <c r="A17" s="4" t="s">
        <v>165</v>
      </c>
      <c r="B17" s="26">
        <v>0.15</v>
      </c>
      <c r="C17" s="2" t="s">
        <v>166</v>
      </c>
    </row>
    <row r="18" spans="1:3" ht="15" customHeight="1" x14ac:dyDescent="0.3">
      <c r="A18" s="4" t="s">
        <v>167</v>
      </c>
      <c r="B18" s="26">
        <v>0.35</v>
      </c>
      <c r="C18" s="2" t="s">
        <v>168</v>
      </c>
    </row>
    <row r="19" spans="1:3" ht="15" customHeight="1" x14ac:dyDescent="0.3">
      <c r="A19" s="4" t="s">
        <v>169</v>
      </c>
      <c r="B19" s="25">
        <v>0.65</v>
      </c>
      <c r="C19" s="2" t="s">
        <v>170</v>
      </c>
    </row>
    <row r="20" spans="1:3" ht="15" customHeight="1" x14ac:dyDescent="0.3">
      <c r="A20" s="4" t="s">
        <v>171</v>
      </c>
      <c r="B20" s="27">
        <v>2.5</v>
      </c>
      <c r="C20" s="2" t="s">
        <v>172</v>
      </c>
    </row>
    <row r="21" spans="1:3" ht="15" customHeight="1" x14ac:dyDescent="0.3">
      <c r="A21" s="4" t="s">
        <v>173</v>
      </c>
      <c r="B21" s="27">
        <v>6</v>
      </c>
      <c r="C21" s="2" t="s">
        <v>174</v>
      </c>
    </row>
    <row r="22" spans="1:3" ht="15" customHeight="1" x14ac:dyDescent="0.3">
      <c r="A22" s="73" t="s">
        <v>175</v>
      </c>
      <c r="B22" s="71"/>
      <c r="C22" s="71"/>
    </row>
    <row r="23" spans="1:3" ht="15" customHeight="1" x14ac:dyDescent="0.3">
      <c r="A23" s="4" t="s">
        <v>176</v>
      </c>
      <c r="B23" s="25">
        <v>0.08</v>
      </c>
      <c r="C23" s="2" t="s">
        <v>177</v>
      </c>
    </row>
    <row r="24" spans="1:3" ht="15" customHeight="1" x14ac:dyDescent="0.3">
      <c r="A24" s="4" t="s">
        <v>178</v>
      </c>
      <c r="B24" s="25">
        <v>0.35</v>
      </c>
      <c r="C24" s="2" t="s">
        <v>179</v>
      </c>
    </row>
    <row r="25" spans="1:3" ht="15" customHeight="1" x14ac:dyDescent="0.3">
      <c r="A25" s="4" t="s">
        <v>180</v>
      </c>
      <c r="B25" s="27">
        <v>3</v>
      </c>
      <c r="C25" s="2" t="s">
        <v>181</v>
      </c>
    </row>
    <row r="26" spans="1:3" ht="15" customHeight="1" x14ac:dyDescent="0.3">
      <c r="A26" s="4" t="s">
        <v>182</v>
      </c>
      <c r="B26" s="25">
        <v>0.02</v>
      </c>
      <c r="C26" s="2" t="s">
        <v>183</v>
      </c>
    </row>
    <row r="27" spans="1:3" ht="15" customHeight="1" x14ac:dyDescent="0.3">
      <c r="A27" s="4" t="s">
        <v>184</v>
      </c>
      <c r="B27" s="25">
        <v>0.1</v>
      </c>
      <c r="C27" s="2" t="s">
        <v>185</v>
      </c>
    </row>
    <row r="28" spans="1:3" ht="15" customHeight="1" x14ac:dyDescent="0.3">
      <c r="A28" s="4" t="s">
        <v>186</v>
      </c>
      <c r="B28" s="24">
        <v>4.0000000000000001E-3</v>
      </c>
      <c r="C28" s="2" t="s">
        <v>187</v>
      </c>
    </row>
    <row r="29" spans="1:3" ht="15" customHeight="1" x14ac:dyDescent="0.3">
      <c r="A29" s="73" t="s">
        <v>188</v>
      </c>
      <c r="B29" s="71"/>
      <c r="C29" s="71"/>
    </row>
    <row r="30" spans="1:3" ht="15" customHeight="1" x14ac:dyDescent="0.3">
      <c r="A30" s="4" t="s">
        <v>189</v>
      </c>
      <c r="B30" s="24">
        <v>15.49</v>
      </c>
      <c r="C30" s="2" t="s">
        <v>190</v>
      </c>
    </row>
    <row r="31" spans="1:3" ht="15" customHeight="1" x14ac:dyDescent="0.3">
      <c r="A31" s="4" t="s">
        <v>191</v>
      </c>
      <c r="B31" s="24">
        <v>1</v>
      </c>
      <c r="C31" s="2" t="s">
        <v>192</v>
      </c>
    </row>
    <row r="32" spans="1:3" ht="15" customHeight="1" x14ac:dyDescent="0.3">
      <c r="A32" s="4" t="s">
        <v>193</v>
      </c>
      <c r="B32" s="24">
        <v>20</v>
      </c>
      <c r="C32" s="2" t="s">
        <v>194</v>
      </c>
    </row>
    <row r="33" spans="1:3" ht="15" customHeight="1" x14ac:dyDescent="0.3">
      <c r="A33" s="4" t="s">
        <v>195</v>
      </c>
      <c r="B33" s="24">
        <v>1</v>
      </c>
      <c r="C33" s="2" t="s">
        <v>196</v>
      </c>
    </row>
    <row r="34" spans="1:3" ht="15" customHeight="1" x14ac:dyDescent="0.3">
      <c r="A34" s="4" t="s">
        <v>197</v>
      </c>
      <c r="B34" s="24">
        <v>100</v>
      </c>
      <c r="C34" s="2" t="s">
        <v>198</v>
      </c>
    </row>
    <row r="35" spans="1:3" ht="15" customHeight="1" x14ac:dyDescent="0.3">
      <c r="A35" s="4" t="s">
        <v>89</v>
      </c>
      <c r="B35" s="24">
        <v>135.13999999999999</v>
      </c>
      <c r="C35" s="2" t="s">
        <v>199</v>
      </c>
    </row>
    <row r="36" spans="1:3" ht="15" customHeight="1" x14ac:dyDescent="0.3">
      <c r="A36" s="4" t="s">
        <v>200</v>
      </c>
      <c r="B36" s="25">
        <v>3.8100000000000002E-2</v>
      </c>
      <c r="C36" s="2" t="s">
        <v>201</v>
      </c>
    </row>
    <row r="37" spans="1:3" ht="15" customHeight="1" x14ac:dyDescent="0.3">
      <c r="A37" s="4" t="s">
        <v>202</v>
      </c>
      <c r="B37" s="26">
        <v>18.5</v>
      </c>
      <c r="C37" s="2" t="s">
        <v>203</v>
      </c>
    </row>
    <row r="38" spans="1:3" ht="15" customHeight="1" x14ac:dyDescent="0.3">
      <c r="A38" s="73" t="s">
        <v>204</v>
      </c>
      <c r="B38" s="71"/>
      <c r="C38" s="71"/>
    </row>
    <row r="39" spans="1:3" ht="15" customHeight="1" x14ac:dyDescent="0.3">
      <c r="A39" s="4" t="s">
        <v>205</v>
      </c>
      <c r="B39" s="28">
        <v>0</v>
      </c>
      <c r="C39" s="2" t="s">
        <v>206</v>
      </c>
    </row>
    <row r="40" spans="1:3" ht="15" customHeight="1" x14ac:dyDescent="0.3">
      <c r="A40" s="4" t="s">
        <v>207</v>
      </c>
      <c r="B40" s="27">
        <v>20</v>
      </c>
      <c r="C40" s="2" t="s">
        <v>208</v>
      </c>
    </row>
  </sheetData>
  <mergeCells count="7">
    <mergeCell ref="A38:C38"/>
    <mergeCell ref="A29:C29"/>
    <mergeCell ref="A1:C1"/>
    <mergeCell ref="A22:C22"/>
    <mergeCell ref="A9:C9"/>
    <mergeCell ref="A15:C15"/>
    <mergeCell ref="A4:C4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9"/>
  <sheetViews>
    <sheetView tabSelected="1" zoomScaleNormal="100" workbookViewId="0">
      <selection activeCell="F6" sqref="F6"/>
    </sheetView>
  </sheetViews>
  <sheetFormatPr defaultColWidth="8.6640625" defaultRowHeight="14.4" x14ac:dyDescent="0.3"/>
  <cols>
    <col min="1" max="1" width="24" customWidth="1"/>
    <col min="2" max="2" width="9" customWidth="1"/>
    <col min="3" max="3" width="7.109375" bestFit="1" customWidth="1"/>
    <col min="4" max="4" width="6.6640625" bestFit="1" customWidth="1"/>
    <col min="5" max="5" width="7" bestFit="1" customWidth="1"/>
    <col min="6" max="6" width="8" bestFit="1" customWidth="1"/>
    <col min="7" max="7" width="9.109375" bestFit="1" customWidth="1"/>
    <col min="8" max="8" width="12.6640625" bestFit="1" customWidth="1"/>
    <col min="9" max="9" width="10.5546875" bestFit="1" customWidth="1"/>
    <col min="10" max="10" width="21.21875" bestFit="1" customWidth="1"/>
    <col min="11" max="11" width="14.88671875" bestFit="1" customWidth="1"/>
  </cols>
  <sheetData>
    <row r="1" spans="1:11" ht="15.75" customHeight="1" x14ac:dyDescent="0.3">
      <c r="A1" s="29" t="s">
        <v>209</v>
      </c>
    </row>
    <row r="2" spans="1:11" ht="15" customHeight="1" x14ac:dyDescent="0.3">
      <c r="A2" s="23" t="s">
        <v>210</v>
      </c>
    </row>
    <row r="4" spans="1:11" ht="15" customHeight="1" x14ac:dyDescent="0.3">
      <c r="A4" s="30" t="s">
        <v>211</v>
      </c>
      <c r="B4" s="31"/>
      <c r="C4" s="31"/>
    </row>
    <row r="5" spans="1:11" ht="15" customHeight="1" x14ac:dyDescent="0.3">
      <c r="A5" s="32" t="s">
        <v>212</v>
      </c>
      <c r="B5" s="33">
        <v>3</v>
      </c>
    </row>
    <row r="6" spans="1:11" ht="15" customHeight="1" x14ac:dyDescent="0.3">
      <c r="A6" s="32" t="s">
        <v>213</v>
      </c>
      <c r="B6" s="33">
        <v>15</v>
      </c>
    </row>
    <row r="7" spans="1:11" ht="15" customHeight="1" x14ac:dyDescent="0.3">
      <c r="A7" s="32" t="s">
        <v>214</v>
      </c>
      <c r="B7" s="33">
        <v>1</v>
      </c>
    </row>
    <row r="8" spans="1:11" ht="15" customHeight="1" x14ac:dyDescent="0.3">
      <c r="A8" s="32" t="s">
        <v>215</v>
      </c>
      <c r="B8" s="33">
        <v>5</v>
      </c>
    </row>
    <row r="9" spans="1:11" ht="15" customHeight="1" x14ac:dyDescent="0.3">
      <c r="A9" s="32" t="s">
        <v>216</v>
      </c>
      <c r="B9" s="33">
        <v>0.01</v>
      </c>
    </row>
    <row r="10" spans="1:11" x14ac:dyDescent="0.3">
      <c r="A10" t="s">
        <v>217</v>
      </c>
      <c r="B10" s="62">
        <v>0.5</v>
      </c>
    </row>
    <row r="11" spans="1:11" x14ac:dyDescent="0.3">
      <c r="A11" t="s">
        <v>218</v>
      </c>
      <c r="B11" s="62">
        <v>3</v>
      </c>
    </row>
    <row r="12" spans="1:11" ht="15" customHeight="1" x14ac:dyDescent="0.3">
      <c r="A12" s="34" t="s">
        <v>219</v>
      </c>
      <c r="B12" s="34" t="s">
        <v>220</v>
      </c>
      <c r="C12" s="34" t="s">
        <v>221</v>
      </c>
      <c r="D12" s="34" t="s">
        <v>222</v>
      </c>
      <c r="E12" s="34" t="s">
        <v>223</v>
      </c>
      <c r="F12" s="34" t="s">
        <v>224</v>
      </c>
      <c r="G12" s="34" t="s">
        <v>225</v>
      </c>
      <c r="H12" s="34" t="s">
        <v>226</v>
      </c>
      <c r="I12" s="34" t="s">
        <v>227</v>
      </c>
      <c r="J12" s="56" t="s">
        <v>228</v>
      </c>
      <c r="K12" s="56" t="s">
        <v>229</v>
      </c>
    </row>
    <row r="13" spans="1:11" ht="15" customHeight="1" x14ac:dyDescent="0.3">
      <c r="A13" s="35" t="s">
        <v>230</v>
      </c>
      <c r="B13" s="35">
        <v>1</v>
      </c>
      <c r="C13" s="36">
        <f>B13*Assumptions!$B$16</f>
        <v>2</v>
      </c>
      <c r="D13" s="35" t="s">
        <v>231</v>
      </c>
      <c r="E13" s="37">
        <v>0</v>
      </c>
      <c r="F13" s="37">
        <v>0</v>
      </c>
      <c r="G13" s="37">
        <v>0</v>
      </c>
      <c r="H13" s="36">
        <v>0</v>
      </c>
      <c r="I13" s="38">
        <f t="shared" ref="I13:I23" si="0">IF(C13=0,0,H13/C13)</f>
        <v>0</v>
      </c>
      <c r="J13">
        <v>0</v>
      </c>
      <c r="K13">
        <f t="shared" ref="K13:K23" si="1">IF(C13=0,0,J13/C13)</f>
        <v>0</v>
      </c>
    </row>
    <row r="14" spans="1:11" ht="15" customHeight="1" x14ac:dyDescent="0.3">
      <c r="A14" s="39" t="s">
        <v>232</v>
      </c>
      <c r="B14" s="39">
        <v>1</v>
      </c>
      <c r="C14" s="40">
        <f>B14*Assumptions!$B$16</f>
        <v>2</v>
      </c>
      <c r="D14" s="39" t="s">
        <v>233</v>
      </c>
      <c r="E14" s="41">
        <v>8000</v>
      </c>
      <c r="F14" s="41">
        <v>1000</v>
      </c>
      <c r="G14" s="41">
        <v>0</v>
      </c>
      <c r="H14" s="40">
        <f>E14/1000000*$B$7+F14/1000000*$B$8+G14*$B$9</f>
        <v>1.3000000000000001E-2</v>
      </c>
      <c r="I14" s="42">
        <f t="shared" si="0"/>
        <v>6.5000000000000006E-3</v>
      </c>
      <c r="J14" s="57">
        <f t="shared" ref="J14:J23" si="2">E14/1000000*$B$10+F14/1000000*$B$11+G14*$B$9</f>
        <v>7.0000000000000001E-3</v>
      </c>
      <c r="K14" s="58">
        <f t="shared" si="1"/>
        <v>3.5000000000000001E-3</v>
      </c>
    </row>
    <row r="15" spans="1:11" ht="15" customHeight="1" x14ac:dyDescent="0.3">
      <c r="A15" s="35" t="s">
        <v>234</v>
      </c>
      <c r="B15" s="35">
        <v>2</v>
      </c>
      <c r="C15" s="36">
        <f>B15*Assumptions!$B$16</f>
        <v>4</v>
      </c>
      <c r="D15" s="35" t="s">
        <v>235</v>
      </c>
      <c r="E15" s="37">
        <v>40000</v>
      </c>
      <c r="F15" s="37">
        <v>3000</v>
      </c>
      <c r="G15" s="37">
        <v>2</v>
      </c>
      <c r="H15" s="36">
        <f t="shared" ref="H15:H23" si="3">E15/1000000*$B$5+F15/1000000*$B$6+G15*$B$9</f>
        <v>0.18499999999999997</v>
      </c>
      <c r="I15" s="38">
        <f t="shared" si="0"/>
        <v>4.6249999999999993E-2</v>
      </c>
      <c r="J15" s="57">
        <f t="shared" si="2"/>
        <v>4.9000000000000002E-2</v>
      </c>
      <c r="K15" s="58">
        <f t="shared" si="1"/>
        <v>1.225E-2</v>
      </c>
    </row>
    <row r="16" spans="1:11" ht="15" customHeight="1" x14ac:dyDescent="0.3">
      <c r="A16" s="39" t="s">
        <v>236</v>
      </c>
      <c r="B16" s="39">
        <v>3</v>
      </c>
      <c r="C16" s="40">
        <f>B16*Assumptions!$B$16</f>
        <v>6</v>
      </c>
      <c r="D16" s="39" t="s">
        <v>235</v>
      </c>
      <c r="E16" s="41">
        <v>80000</v>
      </c>
      <c r="F16" s="41">
        <v>5000</v>
      </c>
      <c r="G16" s="41">
        <v>3</v>
      </c>
      <c r="H16" s="40">
        <f t="shared" si="3"/>
        <v>0.34499999999999997</v>
      </c>
      <c r="I16" s="42">
        <f t="shared" si="0"/>
        <v>5.7499999999999996E-2</v>
      </c>
      <c r="J16" s="57">
        <f t="shared" si="2"/>
        <v>8.4999999999999992E-2</v>
      </c>
      <c r="K16" s="58">
        <f t="shared" si="1"/>
        <v>1.4166666666666666E-2</v>
      </c>
    </row>
    <row r="17" spans="1:11" ht="15" customHeight="1" x14ac:dyDescent="0.3">
      <c r="A17" s="35" t="s">
        <v>237</v>
      </c>
      <c r="B17" s="35">
        <v>3</v>
      </c>
      <c r="C17" s="36">
        <f>B17*Assumptions!$B$16</f>
        <v>6</v>
      </c>
      <c r="D17" s="35" t="s">
        <v>235</v>
      </c>
      <c r="E17" s="37">
        <v>100000</v>
      </c>
      <c r="F17" s="37">
        <v>4000</v>
      </c>
      <c r="G17" s="37">
        <v>5</v>
      </c>
      <c r="H17" s="36">
        <f t="shared" si="3"/>
        <v>0.41000000000000003</v>
      </c>
      <c r="I17" s="38">
        <f t="shared" si="0"/>
        <v>6.8333333333333343E-2</v>
      </c>
      <c r="J17" s="57">
        <f t="shared" si="2"/>
        <v>0.112</v>
      </c>
      <c r="K17" s="58">
        <f t="shared" si="1"/>
        <v>1.8666666666666668E-2</v>
      </c>
    </row>
    <row r="18" spans="1:11" ht="15" customHeight="1" x14ac:dyDescent="0.3">
      <c r="A18" s="39" t="s">
        <v>238</v>
      </c>
      <c r="B18" s="39">
        <v>5</v>
      </c>
      <c r="C18" s="40">
        <f>B18*Assumptions!$B$16</f>
        <v>10</v>
      </c>
      <c r="D18" s="39" t="s">
        <v>235</v>
      </c>
      <c r="E18" s="41">
        <v>90000</v>
      </c>
      <c r="F18" s="41">
        <v>4000</v>
      </c>
      <c r="G18" s="41">
        <v>6</v>
      </c>
      <c r="H18" s="40">
        <f t="shared" si="3"/>
        <v>0.39</v>
      </c>
      <c r="I18" s="42">
        <f t="shared" si="0"/>
        <v>3.9E-2</v>
      </c>
      <c r="J18" s="57">
        <f t="shared" si="2"/>
        <v>0.11699999999999999</v>
      </c>
      <c r="K18" s="58">
        <f t="shared" si="1"/>
        <v>1.1699999999999999E-2</v>
      </c>
    </row>
    <row r="19" spans="1:11" ht="15" customHeight="1" x14ac:dyDescent="0.3">
      <c r="A19" s="35" t="s">
        <v>239</v>
      </c>
      <c r="B19" s="35">
        <v>5</v>
      </c>
      <c r="C19" s="36">
        <f>B19*Assumptions!$B$16</f>
        <v>10</v>
      </c>
      <c r="D19" s="35" t="s">
        <v>235</v>
      </c>
      <c r="E19" s="37">
        <v>120000</v>
      </c>
      <c r="F19" s="37">
        <v>5000</v>
      </c>
      <c r="G19" s="37">
        <v>6</v>
      </c>
      <c r="H19" s="36">
        <f t="shared" si="3"/>
        <v>0.495</v>
      </c>
      <c r="I19" s="38">
        <f t="shared" si="0"/>
        <v>4.9500000000000002E-2</v>
      </c>
      <c r="J19" s="57">
        <f t="shared" si="2"/>
        <v>0.13500000000000001</v>
      </c>
      <c r="K19" s="58">
        <f t="shared" si="1"/>
        <v>1.3500000000000002E-2</v>
      </c>
    </row>
    <row r="20" spans="1:11" ht="15" customHeight="1" x14ac:dyDescent="0.3">
      <c r="A20" s="39" t="s">
        <v>240</v>
      </c>
      <c r="B20" s="39">
        <v>5</v>
      </c>
      <c r="C20" s="40">
        <f>B20*Assumptions!$B$16</f>
        <v>10</v>
      </c>
      <c r="D20" s="39" t="s">
        <v>235</v>
      </c>
      <c r="E20" s="41">
        <v>130000</v>
      </c>
      <c r="F20" s="41">
        <v>5000</v>
      </c>
      <c r="G20" s="41">
        <v>7</v>
      </c>
      <c r="H20" s="40">
        <f t="shared" si="3"/>
        <v>0.53500000000000003</v>
      </c>
      <c r="I20" s="42">
        <f t="shared" si="0"/>
        <v>5.3500000000000006E-2</v>
      </c>
      <c r="J20" s="57">
        <f t="shared" si="2"/>
        <v>0.15000000000000002</v>
      </c>
      <c r="K20" s="58">
        <f t="shared" si="1"/>
        <v>1.5000000000000003E-2</v>
      </c>
    </row>
    <row r="21" spans="1:11" ht="15" customHeight="1" x14ac:dyDescent="0.3">
      <c r="A21" s="35" t="s">
        <v>241</v>
      </c>
      <c r="B21" s="35">
        <v>5</v>
      </c>
      <c r="C21" s="36">
        <f>B21*Assumptions!$B$16</f>
        <v>10</v>
      </c>
      <c r="D21" s="35" t="s">
        <v>235</v>
      </c>
      <c r="E21" s="37">
        <v>170000</v>
      </c>
      <c r="F21" s="37">
        <v>5000</v>
      </c>
      <c r="G21" s="37">
        <v>8</v>
      </c>
      <c r="H21" s="36">
        <f t="shared" si="3"/>
        <v>0.66499999999999992</v>
      </c>
      <c r="I21" s="38">
        <f t="shared" si="0"/>
        <v>6.649999999999999E-2</v>
      </c>
      <c r="J21" s="57">
        <f t="shared" si="2"/>
        <v>0.18</v>
      </c>
      <c r="K21" s="58">
        <f t="shared" si="1"/>
        <v>1.7999999999999999E-2</v>
      </c>
    </row>
    <row r="22" spans="1:11" ht="15" customHeight="1" x14ac:dyDescent="0.3">
      <c r="A22" s="39" t="s">
        <v>242</v>
      </c>
      <c r="B22" s="39">
        <v>8</v>
      </c>
      <c r="C22" s="40">
        <f>B22*Assumptions!$B$16</f>
        <v>16</v>
      </c>
      <c r="D22" s="39" t="s">
        <v>235</v>
      </c>
      <c r="E22" s="41">
        <v>150000</v>
      </c>
      <c r="F22" s="41">
        <v>6000</v>
      </c>
      <c r="G22" s="41">
        <v>8</v>
      </c>
      <c r="H22" s="40">
        <f t="shared" si="3"/>
        <v>0.61999999999999988</v>
      </c>
      <c r="I22" s="42">
        <f t="shared" si="0"/>
        <v>3.8749999999999993E-2</v>
      </c>
      <c r="J22" s="57">
        <f t="shared" si="2"/>
        <v>0.17299999999999999</v>
      </c>
      <c r="K22" s="58">
        <f t="shared" si="1"/>
        <v>1.0812499999999999E-2</v>
      </c>
    </row>
    <row r="23" spans="1:11" ht="15" customHeight="1" x14ac:dyDescent="0.3">
      <c r="A23" s="35" t="s">
        <v>243</v>
      </c>
      <c r="B23" s="35">
        <v>10</v>
      </c>
      <c r="C23" s="36">
        <f>B23*Assumptions!$B$16</f>
        <v>20</v>
      </c>
      <c r="D23" s="35" t="s">
        <v>235</v>
      </c>
      <c r="E23" s="37">
        <v>200000</v>
      </c>
      <c r="F23" s="37">
        <v>8000</v>
      </c>
      <c r="G23" s="37">
        <v>10</v>
      </c>
      <c r="H23" s="36">
        <f t="shared" si="3"/>
        <v>0.82000000000000006</v>
      </c>
      <c r="I23" s="38">
        <f t="shared" si="0"/>
        <v>4.1000000000000002E-2</v>
      </c>
      <c r="J23" s="57">
        <f t="shared" si="2"/>
        <v>0.224</v>
      </c>
      <c r="K23" s="58">
        <f t="shared" si="1"/>
        <v>1.12E-2</v>
      </c>
    </row>
    <row r="25" spans="1:11" ht="15" customHeight="1" x14ac:dyDescent="0.3">
      <c r="A25" s="43" t="s">
        <v>244</v>
      </c>
      <c r="I25" s="44">
        <f>MAX(I13:I23)</f>
        <v>6.8333333333333343E-2</v>
      </c>
      <c r="J25" s="58">
        <f>MAX(K13:K23)</f>
        <v>1.8666666666666668E-2</v>
      </c>
    </row>
    <row r="26" spans="1:11" ht="15" customHeight="1" x14ac:dyDescent="0.3">
      <c r="A26" s="23" t="s">
        <v>245</v>
      </c>
      <c r="I26" s="45">
        <v>0.1</v>
      </c>
    </row>
    <row r="27" spans="1:11" ht="15" customHeight="1" x14ac:dyDescent="0.3">
      <c r="A27" s="23" t="s">
        <v>246</v>
      </c>
    </row>
    <row r="28" spans="1:11" x14ac:dyDescent="0.3">
      <c r="A28" s="74" t="s">
        <v>247</v>
      </c>
      <c r="B28" s="71"/>
      <c r="C28" s="71"/>
      <c r="D28" s="71"/>
      <c r="E28" s="71"/>
      <c r="F28" s="71"/>
      <c r="G28" s="71"/>
      <c r="H28" s="71"/>
      <c r="I28" s="71"/>
    </row>
    <row r="29" spans="1:11" x14ac:dyDescent="0.3">
      <c r="A29" s="71"/>
      <c r="B29" s="71"/>
      <c r="C29" s="71"/>
      <c r="D29" s="71"/>
      <c r="E29" s="71"/>
      <c r="F29" s="71"/>
      <c r="G29" s="71"/>
      <c r="H29" s="71"/>
      <c r="I29" s="71"/>
    </row>
  </sheetData>
  <mergeCells count="1">
    <mergeCell ref="A28:I2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52"/>
  <sheetViews>
    <sheetView zoomScaleNormal="100" workbookViewId="0"/>
  </sheetViews>
  <sheetFormatPr defaultColWidth="8.6640625" defaultRowHeight="14.4" x14ac:dyDescent="0.3"/>
  <cols>
    <col min="1" max="1" width="46" customWidth="1"/>
    <col min="2" max="4" width="13" customWidth="1"/>
    <col min="5" max="5" width="52" customWidth="1"/>
    <col min="6" max="7" width="10" customWidth="1"/>
  </cols>
  <sheetData>
    <row r="1" spans="1:7" ht="15" customHeight="1" x14ac:dyDescent="0.3">
      <c r="A1" s="46" t="s">
        <v>248</v>
      </c>
    </row>
    <row r="2" spans="1:7" ht="15" customHeight="1" x14ac:dyDescent="0.3">
      <c r="A2" s="76" t="s">
        <v>249</v>
      </c>
      <c r="B2" s="71"/>
      <c r="C2" s="71"/>
      <c r="D2" s="71"/>
      <c r="E2" s="71"/>
      <c r="F2" s="71"/>
    </row>
    <row r="3" spans="1:7" ht="15" customHeight="1" x14ac:dyDescent="0.3">
      <c r="A3" s="71"/>
      <c r="B3" s="71"/>
      <c r="C3" s="71"/>
      <c r="D3" s="71"/>
      <c r="E3" s="71"/>
      <c r="F3" s="71"/>
    </row>
    <row r="5" spans="1:7" ht="15" customHeight="1" x14ac:dyDescent="0.3">
      <c r="A5" s="47" t="s">
        <v>250</v>
      </c>
    </row>
    <row r="6" spans="1:7" ht="15" customHeight="1" x14ac:dyDescent="0.3">
      <c r="A6" t="s">
        <v>251</v>
      </c>
      <c r="B6" s="48">
        <v>1.5</v>
      </c>
      <c r="C6" t="s">
        <v>252</v>
      </c>
      <c r="D6" t="s">
        <v>253</v>
      </c>
      <c r="E6" s="48">
        <v>349</v>
      </c>
      <c r="F6" s="48">
        <v>1136</v>
      </c>
      <c r="G6" s="48">
        <v>7797</v>
      </c>
    </row>
    <row r="7" spans="1:7" ht="15" customHeight="1" x14ac:dyDescent="0.3">
      <c r="A7" t="s">
        <v>254</v>
      </c>
      <c r="B7" s="48">
        <v>16.8</v>
      </c>
      <c r="C7" t="s">
        <v>255</v>
      </c>
    </row>
    <row r="8" spans="1:7" ht="15" customHeight="1" x14ac:dyDescent="0.3">
      <c r="A8" t="s">
        <v>256</v>
      </c>
      <c r="B8" s="48">
        <v>1.389E-2</v>
      </c>
      <c r="C8" t="s">
        <v>257</v>
      </c>
    </row>
    <row r="9" spans="1:7" ht="15" customHeight="1" x14ac:dyDescent="0.3">
      <c r="A9" t="s">
        <v>258</v>
      </c>
      <c r="B9" s="48">
        <v>1.4139999999999999E-3</v>
      </c>
      <c r="C9" t="s">
        <v>259</v>
      </c>
    </row>
    <row r="10" spans="1:7" ht="15" customHeight="1" x14ac:dyDescent="0.3">
      <c r="A10" t="s">
        <v>260</v>
      </c>
      <c r="B10" s="48">
        <v>7790</v>
      </c>
      <c r="C10" t="s">
        <v>261</v>
      </c>
    </row>
    <row r="11" spans="1:7" ht="15" customHeight="1" x14ac:dyDescent="0.3">
      <c r="A11" t="s">
        <v>262</v>
      </c>
      <c r="B11" s="48">
        <v>4368</v>
      </c>
      <c r="C11" t="s">
        <v>263</v>
      </c>
    </row>
    <row r="12" spans="1:7" ht="15" customHeight="1" x14ac:dyDescent="0.3">
      <c r="A12" t="s">
        <v>264</v>
      </c>
      <c r="B12" s="48">
        <v>16872</v>
      </c>
      <c r="C12" t="s">
        <v>263</v>
      </c>
    </row>
    <row r="13" spans="1:7" ht="15" customHeight="1" x14ac:dyDescent="0.3">
      <c r="A13" t="s">
        <v>265</v>
      </c>
      <c r="C13" t="s">
        <v>266</v>
      </c>
    </row>
    <row r="16" spans="1:7" ht="15" customHeight="1" x14ac:dyDescent="0.3">
      <c r="A16" s="47" t="s">
        <v>267</v>
      </c>
    </row>
    <row r="17" spans="1:5" ht="15" customHeight="1" x14ac:dyDescent="0.3">
      <c r="A17" s="49" t="s">
        <v>268</v>
      </c>
      <c r="B17" s="49" t="s">
        <v>74</v>
      </c>
      <c r="C17" s="49" t="s">
        <v>75</v>
      </c>
      <c r="D17" s="49" t="s">
        <v>76</v>
      </c>
      <c r="E17" s="49" t="s">
        <v>269</v>
      </c>
    </row>
    <row r="18" spans="1:5" ht="15" customHeight="1" x14ac:dyDescent="0.3">
      <c r="A18" s="50" t="s">
        <v>270</v>
      </c>
      <c r="B18" s="51">
        <f>$B$10*$B$6*$B$7</f>
        <v>196308</v>
      </c>
      <c r="C18" s="51">
        <f>$B$11*$B$6*$B$7</f>
        <v>110073.60000000001</v>
      </c>
      <c r="D18" s="51">
        <f>$B$12*$B$6*$B$7</f>
        <v>425174.4</v>
      </c>
      <c r="E18" s="50" t="s">
        <v>271</v>
      </c>
    </row>
    <row r="19" spans="1:5" ht="23.85" customHeight="1" x14ac:dyDescent="0.3">
      <c r="A19" s="50" t="s">
        <v>272</v>
      </c>
      <c r="B19" s="52">
        <f>$E$6</f>
        <v>349</v>
      </c>
      <c r="C19" s="52">
        <f>$F$6</f>
        <v>1136</v>
      </c>
      <c r="D19" s="52">
        <f>$G$6</f>
        <v>7797</v>
      </c>
      <c r="E19" s="50" t="s">
        <v>273</v>
      </c>
    </row>
    <row r="20" spans="1:5" ht="15" customHeight="1" x14ac:dyDescent="0.3">
      <c r="A20" s="50" t="s">
        <v>274</v>
      </c>
      <c r="B20" s="52">
        <f>$E$6+B18*$B$8</f>
        <v>3075.71812</v>
      </c>
      <c r="C20" s="52">
        <f>$F$6+C18*$B$8</f>
        <v>2664.9223039999997</v>
      </c>
      <c r="D20" s="52">
        <f>$G$6+D18*$B$8</f>
        <v>13702.672416000001</v>
      </c>
      <c r="E20" s="50" t="s">
        <v>275</v>
      </c>
    </row>
    <row r="21" spans="1:5" ht="23.85" customHeight="1" x14ac:dyDescent="0.3">
      <c r="A21" s="50" t="s">
        <v>276</v>
      </c>
      <c r="B21" s="52">
        <f>$E$6+B18*$B$9</f>
        <v>626.57951200000002</v>
      </c>
      <c r="C21" s="52">
        <f>$F$6+C18*$B$9</f>
        <v>1291.6440703999999</v>
      </c>
      <c r="D21" s="52">
        <f>$G$6+D18*$B$9</f>
        <v>8398.1966016000006</v>
      </c>
      <c r="E21" s="50" t="s">
        <v>277</v>
      </c>
    </row>
    <row r="22" spans="1:5" ht="15" customHeight="1" x14ac:dyDescent="0.3">
      <c r="A22" s="50" t="s">
        <v>278</v>
      </c>
      <c r="B22" s="52">
        <f>B20-B21</f>
        <v>2449.1386080000002</v>
      </c>
      <c r="C22" s="52">
        <f>C20-C21</f>
        <v>1373.2782335999998</v>
      </c>
      <c r="D22" s="52">
        <f>D20-D21</f>
        <v>5304.4758144000007</v>
      </c>
      <c r="E22" s="50"/>
    </row>
    <row r="23" spans="1:5" ht="15" customHeight="1" x14ac:dyDescent="0.3">
      <c r="A23" s="50" t="s">
        <v>279</v>
      </c>
      <c r="B23" s="52">
        <f>B20-B19</f>
        <v>2726.71812</v>
      </c>
      <c r="C23" s="52">
        <f>C20-C19</f>
        <v>1528.9223039999997</v>
      </c>
      <c r="D23" s="52">
        <f>D20-D19</f>
        <v>5905.6724160000012</v>
      </c>
      <c r="E23" s="50" t="s">
        <v>280</v>
      </c>
    </row>
    <row r="24" spans="1:5" ht="15" customHeight="1" x14ac:dyDescent="0.3">
      <c r="A24" s="50" t="s">
        <v>281</v>
      </c>
      <c r="B24" s="52">
        <f>B21-B19</f>
        <v>277.57951200000002</v>
      </c>
      <c r="C24" s="52">
        <f>C21-C19</f>
        <v>155.64407039999992</v>
      </c>
      <c r="D24" s="52">
        <f>D21-D19</f>
        <v>601.19660160000058</v>
      </c>
      <c r="E24" s="50" t="s">
        <v>282</v>
      </c>
    </row>
    <row r="26" spans="1:5" ht="15" customHeight="1" x14ac:dyDescent="0.3">
      <c r="A26" s="47" t="s">
        <v>283</v>
      </c>
    </row>
    <row r="27" spans="1:5" ht="15" customHeight="1" x14ac:dyDescent="0.3">
      <c r="A27" t="s">
        <v>284</v>
      </c>
      <c r="B27" s="53">
        <f>(235154-8524-B19)/235154</f>
        <v>0.96226728016533847</v>
      </c>
    </row>
    <row r="28" spans="1:5" ht="15" customHeight="1" x14ac:dyDescent="0.3">
      <c r="A28" t="s">
        <v>285</v>
      </c>
      <c r="B28" s="53">
        <f>(235154-8524-B20)/235154</f>
        <v>0.95067182306063258</v>
      </c>
    </row>
    <row r="29" spans="1:5" ht="15" customHeight="1" x14ac:dyDescent="0.3">
      <c r="A29" t="s">
        <v>286</v>
      </c>
      <c r="B29" s="53">
        <f>(235154-8524-B21)/235154</f>
        <v>0.96108686430169166</v>
      </c>
    </row>
    <row r="31" spans="1:5" ht="15" customHeight="1" x14ac:dyDescent="0.3">
      <c r="A31" s="54" t="s">
        <v>287</v>
      </c>
    </row>
    <row r="32" spans="1:5" x14ac:dyDescent="0.3">
      <c r="A32" s="59" t="s">
        <v>288</v>
      </c>
    </row>
    <row r="33" spans="1:5" x14ac:dyDescent="0.3">
      <c r="A33" t="s">
        <v>289</v>
      </c>
      <c r="B33" s="55">
        <v>2.9000000000000001E-2</v>
      </c>
      <c r="C33" t="s">
        <v>290</v>
      </c>
    </row>
    <row r="34" spans="1:5" x14ac:dyDescent="0.3">
      <c r="A34" t="s">
        <v>291</v>
      </c>
      <c r="B34" s="55">
        <v>1</v>
      </c>
      <c r="C34" t="s">
        <v>292</v>
      </c>
    </row>
    <row r="35" spans="1:5" x14ac:dyDescent="0.3">
      <c r="A35" t="s">
        <v>293</v>
      </c>
      <c r="B35" s="55">
        <v>18</v>
      </c>
      <c r="C35" t="s">
        <v>294</v>
      </c>
    </row>
    <row r="36" spans="1:5" x14ac:dyDescent="0.3">
      <c r="A36" t="s">
        <v>295</v>
      </c>
      <c r="B36" s="55">
        <v>110</v>
      </c>
      <c r="C36" t="s">
        <v>296</v>
      </c>
    </row>
    <row r="37" spans="1:5" x14ac:dyDescent="0.3">
      <c r="A37" t="s">
        <v>297</v>
      </c>
      <c r="B37" s="53">
        <f>B33+B34/B36</f>
        <v>3.8090909090909092E-2</v>
      </c>
    </row>
    <row r="39" spans="1:5" x14ac:dyDescent="0.3">
      <c r="A39" s="60" t="s">
        <v>298</v>
      </c>
    </row>
    <row r="40" spans="1:5" x14ac:dyDescent="0.3">
      <c r="A40" t="s">
        <v>299</v>
      </c>
      <c r="B40" s="53">
        <f>$B$33+$B$34/36</f>
        <v>5.6777777777777774E-2</v>
      </c>
    </row>
    <row r="41" spans="1:5" x14ac:dyDescent="0.3">
      <c r="A41" t="s">
        <v>300</v>
      </c>
      <c r="B41" s="53">
        <f>$B$33+$B$34/72</f>
        <v>4.2888888888888893E-2</v>
      </c>
    </row>
    <row r="42" spans="1:5" x14ac:dyDescent="0.3">
      <c r="A42" t="s">
        <v>301</v>
      </c>
      <c r="B42" s="53">
        <f>$B$33+$B$34/180</f>
        <v>3.4555555555555555E-2</v>
      </c>
    </row>
    <row r="43" spans="1:5" x14ac:dyDescent="0.3">
      <c r="A43" t="s">
        <v>302</v>
      </c>
      <c r="B43" s="53">
        <f>$B$33+$B$34/90</f>
        <v>4.0111111111111111E-2</v>
      </c>
    </row>
    <row r="44" spans="1:5" x14ac:dyDescent="0.3">
      <c r="A44" t="s">
        <v>303</v>
      </c>
      <c r="B44" s="53">
        <f>$B$33+$B$34/360</f>
        <v>3.177777777777778E-2</v>
      </c>
    </row>
    <row r="46" spans="1:5" x14ac:dyDescent="0.3">
      <c r="A46" s="56" t="s">
        <v>304</v>
      </c>
      <c r="B46" s="56" t="s">
        <v>74</v>
      </c>
      <c r="C46" s="56" t="s">
        <v>75</v>
      </c>
      <c r="D46" s="56" t="s">
        <v>76</v>
      </c>
      <c r="E46" s="56" t="s">
        <v>269</v>
      </c>
    </row>
    <row r="47" spans="1:5" x14ac:dyDescent="0.3">
      <c r="A47" t="s">
        <v>305</v>
      </c>
      <c r="B47" s="61">
        <f>235154*0.025</f>
        <v>5878.85</v>
      </c>
      <c r="C47" s="61">
        <f>691173*0.025</f>
        <v>17279.325000000001</v>
      </c>
      <c r="D47" s="61">
        <f>3995294*0.025</f>
        <v>99882.35</v>
      </c>
      <c r="E47" t="s">
        <v>306</v>
      </c>
    </row>
    <row r="48" spans="1:5" x14ac:dyDescent="0.3">
      <c r="A48" t="s">
        <v>307</v>
      </c>
      <c r="B48" s="61">
        <f>235154*$B$37</f>
        <v>8957.229636363636</v>
      </c>
      <c r="C48" s="61">
        <f>691173*$B$37</f>
        <v>26327.407909090911</v>
      </c>
      <c r="D48" s="61">
        <f>3995294*$B$37</f>
        <v>152184.38054545454</v>
      </c>
      <c r="E48" t="s">
        <v>308</v>
      </c>
    </row>
    <row r="49" spans="1:4" x14ac:dyDescent="0.3">
      <c r="A49" t="s">
        <v>309</v>
      </c>
      <c r="B49" s="61">
        <f>B48-B47</f>
        <v>3078.3796363636357</v>
      </c>
      <c r="C49" s="61">
        <f>C48-C47</f>
        <v>9048.0829090909101</v>
      </c>
      <c r="D49" s="61">
        <f>D48-D47</f>
        <v>52302.030545454531</v>
      </c>
    </row>
    <row r="51" spans="1:4" x14ac:dyDescent="0.3">
      <c r="A51" s="59" t="s">
        <v>310</v>
      </c>
    </row>
    <row r="52" spans="1:4" x14ac:dyDescent="0.3">
      <c r="A52" t="s">
        <v>311</v>
      </c>
      <c r="B52" s="53">
        <f>(235154-(8873-349-5879)-B21-B48)/235154</f>
        <v>0.94799659309064011</v>
      </c>
      <c r="C52" t="s">
        <v>312</v>
      </c>
    </row>
  </sheetData>
  <mergeCells count="1">
    <mergeCell ref="A2:F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AUDIT 16 Jul 2026</vt:lpstr>
      <vt:lpstr>3-Year Summary</vt:lpstr>
      <vt:lpstr>Year 1 Monthly</vt:lpstr>
      <vt:lpstr>AI Revenue Analysis</vt:lpstr>
      <vt:lpstr>Assumptions</vt:lpstr>
      <vt:lpstr>AI Cost Ceilings</vt:lpstr>
      <vt:lpstr>AI Costs Rev B (16 Jul 2026)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 Conradie</cp:lastModifiedBy>
  <cp:revision>0</cp:revision>
  <dcterms:created xsi:type="dcterms:W3CDTF">2026-05-28T17:50:36Z</dcterms:created>
  <dcterms:modified xsi:type="dcterms:W3CDTF">2026-07-16T16:04:43Z</dcterms:modified>
  <dc:language>en-US</dc:language>
</cp:coreProperties>
</file>