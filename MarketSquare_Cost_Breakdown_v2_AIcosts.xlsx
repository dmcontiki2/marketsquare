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3-Year Summary" sheetId="1" state="visible" r:id="rId3"/>
    <sheet name="Year 1 Monthly" sheetId="2" state="visible" r:id="rId4"/>
    <sheet name="AI Revenue Analysis" sheetId="3" state="visible" r:id="rId5"/>
    <sheet name="Assumptions" sheetId="4" state="visible" r:id="rId6"/>
    <sheet name="AI Cost Ceiling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model</author>
  </authors>
  <commentList>
    <comment ref="B28" authorId="0">
      <text>
        <r>
          <rPr>
            <sz val="10"/>
            <rFont val="Arial"/>
            <family val="2"/>
          </rPr>
          <t xml:space="preserve">Guidance-only figure (0T/1T Haiku/owned data). Advanced AI Functions cost $0.20-$0.90 per call (capped) - see 'AI Cost Ceilings' sheet. Headline margins still 92-96%.</t>
        </r>
      </text>
    </comment>
  </commentList>
</comments>
</file>

<file path=xl/sharedStrings.xml><?xml version="1.0" encoding="utf-8"?>
<sst xmlns="http://schemas.openxmlformats.org/spreadsheetml/2006/main" count="179" uniqueCount="170">
  <si>
    <t xml:space="preserve">MarketSquare — Revised 3-Year Financial Model (Session 90)</t>
  </si>
  <si>
    <t xml:space="preserve">New tier prices · AI as profit centre · Realistic city ramp</t>
  </si>
  <si>
    <t xml:space="preserve">Metric</t>
  </si>
  <si>
    <t xml:space="preserve">Year 1</t>
  </si>
  <si>
    <t xml:space="preserve">Year 2</t>
  </si>
  <si>
    <t xml:space="preserve">Year 3</t>
  </si>
  <si>
    <t xml:space="preserve">── SCALE ──────────────────────────</t>
  </si>
  <si>
    <t xml:space="preserve">  Live cities (end of year)</t>
  </si>
  <si>
    <t xml:space="preserve">  Total sellers</t>
  </si>
  <si>
    <t xml:space="preserve">  Total buyers</t>
  </si>
  <si>
    <t xml:space="preserve">── REVENUE ────────────────────────</t>
  </si>
  <si>
    <t xml:space="preserve">  Subscription revenue</t>
  </si>
  <si>
    <t xml:space="preserve">  Introduction (Tuppence) revenue</t>
  </si>
  <si>
    <t xml:space="preserve">  AI services revenue</t>
  </si>
  <si>
    <t xml:space="preserve">  TOTAL REVENUE</t>
  </si>
  <si>
    <t xml:space="preserve">── COSTS ──────────────────────────</t>
  </si>
  <si>
    <t xml:space="preserve">  Infrastructure &amp; operations</t>
  </si>
  <si>
    <t xml:space="preserve">  International entity (Stripe)</t>
  </si>
  <si>
    <t xml:space="preserve">  Accountant (from Year 2)</t>
  </si>
  <si>
    <t xml:space="preserve">  Payment processing (2.5%)</t>
  </si>
  <si>
    <t xml:space="preserve">  Anthropic API cost</t>
  </si>
  <si>
    <t xml:space="preserve">  TOTAL COSTS</t>
  </si>
  <si>
    <t xml:space="preserve">  NET INCOME</t>
  </si>
  <si>
    <t xml:space="preserve">  Operating margin</t>
  </si>
  <si>
    <t xml:space="preserve">── REVENUE MIX ─────────────────────</t>
  </si>
  <si>
    <t xml:space="preserve">  Subscriptions %</t>
  </si>
  <si>
    <t xml:space="preserve">  Introductions %</t>
  </si>
  <si>
    <t xml:space="preserve">  AI services %</t>
  </si>
  <si>
    <t xml:space="preserve">── UNIT ECONOMICS ─────────────────</t>
  </si>
  <si>
    <t xml:space="preserve">  Annual revenue per seller</t>
  </si>
  <si>
    <t xml:space="preserve">  Annual cost per seller</t>
  </si>
  <si>
    <t xml:space="preserve">  Free users 1x Standard sub covers</t>
  </si>
  <si>
    <t xml:space="preserve">Year 1 Monthly Revenue — City Launch Ramp</t>
  </si>
  <si>
    <t xml:space="preserve">Mo 1-3: Pretoria only · Mo 4-6: Wave 1 (4 cities) · Mo 7+: +8 cities/month</t>
  </si>
  <si>
    <t xml:space="preserve">Mo</t>
  </si>
  <si>
    <t xml:space="preserve">Cities</t>
  </si>
  <si>
    <t xml:space="preserve">Sellers</t>
  </si>
  <si>
    <t xml:space="preserve">Buyers</t>
  </si>
  <si>
    <t xml:space="preserve">Subs $</t>
  </si>
  <si>
    <t xml:space="preserve">Intros $</t>
  </si>
  <si>
    <t xml:space="preserve">AI net $</t>
  </si>
  <si>
    <t xml:space="preserve">Total $</t>
  </si>
  <si>
    <t xml:space="preserve">Infra $</t>
  </si>
  <si>
    <t xml:space="preserve">Net $</t>
  </si>
  <si>
    <t xml:space="preserve">Sub%</t>
  </si>
  <si>
    <t xml:space="preserve">Int%</t>
  </si>
  <si>
    <t xml:space="preserve">AI%</t>
  </si>
  <si>
    <t xml:space="preserve">YEAR 1 TOTAL</t>
  </si>
  <si>
    <t xml:space="preserve">AI Services — 97% Margin Profit Centre</t>
  </si>
  <si>
    <t xml:space="preserve">Sellers pay 1T=$2 per call. We pay $0.002-$0.04 to Anthropic. Net margin ~97%.</t>
  </si>
  <si>
    <t xml:space="preserve">Scenario</t>
  </si>
  <si>
    <t xml:space="preserve">Seller adopt%</t>
  </si>
  <si>
    <t xml:space="preserve">Buyer adopt%</t>
  </si>
  <si>
    <t xml:space="preserve">Gross rev/mo</t>
  </si>
  <si>
    <t xml:space="preserve">API cost/mo</t>
  </si>
  <si>
    <t xml:space="preserve">Net margin</t>
  </si>
  <si>
    <t xml:space="preserve">  Launch: Pretoria, 60 sellers</t>
  </si>
  <si>
    <t xml:space="preserve">  Wave 1: 4 cities, 240 sellers</t>
  </si>
  <si>
    <t xml:space="preserve">  Year 1 end: 52 cities, 7,790 sellers</t>
  </si>
  <si>
    <t xml:space="preserve">  Year 2: 52 cities, 20% seller adoption</t>
  </si>
  <si>
    <t xml:space="preserve">  Year 3: 148 cities, 35% seller adoption</t>
  </si>
  <si>
    <t xml:space="preserve">  Upside: 60% seller adoption (collector-heavy)</t>
  </si>
  <si>
    <t xml:space="preserve">WHY AI ADOPTION IS STRUCTURALLY HIGH FOR THIS MARKETPLACE</t>
  </si>
  <si>
    <t xml:space="preserve">  • Collectors: AI price-check (1T=$2) before every intro is rational — item values vary 10-100x. ROI positive from first use.</t>
  </si>
  <si>
    <t xml:space="preserve">  • Estate agents: rewrite (1T) + yield-calc (1T) per listing = 2T. At 5 new listings/month = $20 AI spend vs $12 sub. Additive, not competitive.</t>
  </si>
  <si>
    <t xml:space="preserve">  • Property investors: yield calculator run 3-5x per property at different price assumptions. Repeat rational use, not habit.</t>
  </si>
  <si>
    <t xml:space="preserve">  • Buyers: 1T price-check before committing 1T to an intro = insurance. Self-reinforcing — buyers who check convert better.</t>
  </si>
  <si>
    <t xml:space="preserve">  • The 'addiction' dynamic is repeated rational economic decisions with positive expected value. Not gamification.</t>
  </si>
  <si>
    <t xml:space="preserve">  • At 40% seller adoption: AI revenue approaches intro revenue. At 60%: AI becomes the single largest revenue stream.</t>
  </si>
  <si>
    <t xml:space="preserve">NOTE (16 Jun): per-call cost above is the 1T guidance case. Advanced functions are capped per 'AI Cost Ceilings' sheet (worst COGS 7.5%); headline margins unchanged.</t>
  </si>
  <si>
    <t xml:space="preserve">Model Assumptions — Update blue cells as actuals come in</t>
  </si>
  <si>
    <t xml:space="preserve">Blue = hardcoded input. Update monthly_income_usd in BEA after first subscriptions arrive.</t>
  </si>
  <si>
    <t xml:space="preserve">SUBSCRIPTION TIERS (Simpler Model — adopted 9-10 Jun 2026)</t>
  </si>
  <si>
    <t xml:space="preserve">  Free price/month (USD)</t>
  </si>
  <si>
    <t xml:space="preserve">2 listing slots</t>
  </si>
  <si>
    <t xml:space="preserve">  Starter price/month (USD)</t>
  </si>
  <si>
    <t xml:space="preserve">10 slots (R90)</t>
  </si>
  <si>
    <t xml:space="preserve">  Pro price/month (USD)</t>
  </si>
  <si>
    <t xml:space="preserve">30 slots (R360)</t>
  </si>
  <si>
    <t xml:space="preserve">  Agency price/month (USD)</t>
  </si>
  <si>
    <t xml:space="preserve">Free + verified · trust-graduated slot cap</t>
  </si>
  <si>
    <t xml:space="preserve">TIER DISTRIBUTION (launch — estimate, update as actuals come in)</t>
  </si>
  <si>
    <t xml:space="preserve">  % Free</t>
  </si>
  <si>
    <t xml:space="preserve">Decreases as platform proves value</t>
  </si>
  <si>
    <t xml:space="preserve">  % Starter</t>
  </si>
  <si>
    <t xml:space="preserve">  % Pro</t>
  </si>
  <si>
    <t xml:space="preserve">  % Agency</t>
  </si>
  <si>
    <t xml:space="preserve">  Legacy tiers (Standard/Professional/Business/Elite)</t>
  </si>
  <si>
    <t xml:space="preserve">Retained for existing users only — not offered to new sellers; see bea_main _SELLER_SUB_TIERS</t>
  </si>
  <si>
    <t xml:space="preserve">INTRODUCTIONS</t>
  </si>
  <si>
    <t xml:space="preserve">  Tuppence value (USD)</t>
  </si>
  <si>
    <t xml:space="preserve">Fixed — 1T = $2</t>
  </si>
  <si>
    <t xml:space="preserve">  Intros per buyer/month (cold)</t>
  </si>
  <si>
    <t xml:space="preserve">Ramps to 0.30 by month 12</t>
  </si>
  <si>
    <t xml:space="preserve">  Intros per buyer/month (mature)</t>
  </si>
  <si>
    <t xml:space="preserve">Year 2+ steady state</t>
  </si>
  <si>
    <t xml:space="preserve">  Intro acceptance rate</t>
  </si>
  <si>
    <t xml:space="preserve">Trust Score drives this up</t>
  </si>
  <si>
    <t xml:space="preserve">  Buyers per seller (launch)</t>
  </si>
  <si>
    <t xml:space="preserve">Conservative — platform unknown</t>
  </si>
  <si>
    <t xml:space="preserve">  Buyers per seller (mature)</t>
  </si>
  <si>
    <t xml:space="preserve">Year 3 target</t>
  </si>
  <si>
    <t xml:space="preserve">AI SERVICES</t>
  </si>
  <si>
    <t xml:space="preserve">  Seller AI adoption % (launch)</t>
  </si>
  <si>
    <t xml:space="preserve">8% use AI monthly at start</t>
  </si>
  <si>
    <t xml:space="preserve">  Seller AI adoption % (mature)</t>
  </si>
  <si>
    <t xml:space="preserve">Collectors/agents drive this up</t>
  </si>
  <si>
    <t xml:space="preserve">  Avg Tuppence/seller/month on AI</t>
  </si>
  <si>
    <t xml:space="preserve">Mix of rewrite, audit, yield calc</t>
  </si>
  <si>
    <t xml:space="preserve">  Buyer AI adoption % (launch)</t>
  </si>
  <si>
    <t xml:space="preserve">Price-check before intro</t>
  </si>
  <si>
    <t xml:space="preserve">  Buyer AI adoption % (mature)</t>
  </si>
  <si>
    <t xml:space="preserve">Grows as buyers learn feature</t>
  </si>
  <si>
    <t xml:space="preserve">  Anthropic blended cost per T</t>
  </si>
  <si>
    <t xml:space="preserve">What we pay per $2 of AI revenue</t>
  </si>
  <si>
    <t xml:space="preserve">INFRASTRUCTURE (monthly USD)</t>
  </si>
  <si>
    <t xml:space="preserve">  Hetzner CPX32</t>
  </si>
  <si>
    <t xml:space="preserve">Actual — Session 88 upgrade</t>
  </si>
  <si>
    <t xml:space="preserve">  Cloudflare R2 per city</t>
  </si>
  <si>
    <t xml:space="preserve">Scales linearly with city count</t>
  </si>
  <si>
    <t xml:space="preserve">  Claude Pro</t>
  </si>
  <si>
    <t xml:space="preserve">Sole dev tool</t>
  </si>
  <si>
    <t xml:space="preserve">  Domain</t>
  </si>
  <si>
    <t xml:space="preserve">~$12/yr amortised</t>
  </si>
  <si>
    <t xml:space="preserve">  International entity</t>
  </si>
  <si>
    <t xml:space="preserve">Required for Wave 1 Stripe (IoM/Singapore)</t>
  </si>
  <si>
    <t xml:space="preserve">R2,000/mo + R500 software @ R18.5</t>
  </si>
  <si>
    <t xml:space="preserve">  Payment processing blended</t>
  </si>
  <si>
    <t xml:space="preserve">Paystack SA + Stripe intl</t>
  </si>
  <si>
    <t xml:space="preserve">  ZAR/USD rate</t>
  </si>
  <si>
    <t xml:space="preserve">Update periodically</t>
  </si>
  <si>
    <t xml:space="preserve">SPEND ALERT CONFIG (BEA)</t>
  </si>
  <si>
    <t xml:space="preserve">  monthly_income_usd (set in BEA)</t>
  </si>
  <si>
    <t xml:space="preserve">⚠ Update via PUT /admin/ai-spend/config after first revenue</t>
  </si>
  <si>
    <t xml:space="preserve">  alert_threshold_pct</t>
  </si>
  <si>
    <t xml:space="preserve">Alert fires when AI spend &gt; this % of income</t>
  </si>
  <si>
    <t xml:space="preserve">AI Function Cost Ceilings — bounded by construction</t>
  </si>
  <si>
    <t xml:space="preserve">Each function is hard-capped (max input/output tokens, max searches) so its worst-case cost is a known constant. See canon: AI_FUNCTION_COST_CEILINGS.md</t>
  </si>
  <si>
    <t xml:space="preserve">COST BASIS (editable)</t>
  </si>
  <si>
    <t xml:space="preserve">Sonnet 4.6 input ($/Mtok)</t>
  </si>
  <si>
    <t xml:space="preserve">Sonnet 4.6 output ($/Mtok)</t>
  </si>
  <si>
    <t xml:space="preserve">Haiku 4.5 input ($/Mtok)</t>
  </si>
  <si>
    <t xml:space="preserve">Haiku 4.5 output ($/Mtok)</t>
  </si>
  <si>
    <t xml:space="preserve">Web search ($/search)</t>
  </si>
  <si>
    <t xml:space="preserve">Function</t>
  </si>
  <si>
    <t xml:space="preserve">Price T</t>
  </si>
  <si>
    <t xml:space="preserve">Price $</t>
  </si>
  <si>
    <t xml:space="preserve">Model</t>
  </si>
  <si>
    <t xml:space="preserve">Max in</t>
  </si>
  <si>
    <t xml:space="preserve">Max out</t>
  </si>
  <si>
    <t xml:space="preserve">Searches</t>
  </si>
  <si>
    <t xml:space="preserve">Worst-case $</t>
  </si>
  <si>
    <t xml:space="preserve">Max COGS</t>
  </si>
  <si>
    <t xml:space="preserve">introduction</t>
  </si>
  <si>
    <t xml:space="preserve">—</t>
  </si>
  <si>
    <t xml:space="preserve">fair_price / yield (guidance)</t>
  </si>
  <si>
    <t xml:space="preserve">Haiku</t>
  </si>
  <si>
    <t xml:space="preserve">offer_advisor</t>
  </si>
  <si>
    <t xml:space="preserve">Sonnet</t>
  </si>
  <si>
    <t xml:space="preserve">study_plan</t>
  </si>
  <si>
    <t xml:space="preserve">weekend_itinerary</t>
  </si>
  <si>
    <t xml:space="preserve">collectables_advert</t>
  </si>
  <si>
    <t xml:space="preserve">car_dossier</t>
  </si>
  <si>
    <t xml:space="preserve">property_dossier</t>
  </si>
  <si>
    <t xml:space="preserve">heritage_tour</t>
  </si>
  <si>
    <t xml:space="preserve">collection_liquidation</t>
  </si>
  <si>
    <t xml:space="preserve">expedition_dossier</t>
  </si>
  <si>
    <t xml:space="preserve">Worst COGS across all functions</t>
  </si>
  <si>
    <t xml:space="preserve">Target ceiling</t>
  </si>
  <si>
    <t xml:space="preserve">Rule: price_$ ≥ worst_case_$ ÷ (1 − target). Re-check before promoting a stub or wiring any paid feed.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</si>
</sst>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$#,##0;&quot;($&quot;#,##0\);\-"/>
    <numFmt numFmtId="167" formatCode="0.0%;\(0.0%\);\-"/>
    <numFmt numFmtId="168" formatCode="0%;\(0%\);\-"/>
    <numFmt numFmtId="169" formatCode="\$#,##0.00;&quot;($&quot;#,##0.00\);\-"/>
    <numFmt numFmtId="170" formatCode="0.00"/>
    <numFmt numFmtId="171" formatCode="0.0"/>
    <numFmt numFmtId="172" formatCode="\$#,##0.00;&quot;($&quot;#,##0.00\);\-"/>
    <numFmt numFmtId="173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1F3864"/>
      <name val="Arial"/>
      <family val="0"/>
      <charset val="1"/>
    </font>
    <font>
      <sz val="9"/>
      <color rgb="FF6B72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8C00"/>
      <name val="Arial"/>
      <family val="0"/>
      <charset val="1"/>
    </font>
    <font>
      <sz val="10"/>
      <name val="Arial"/>
      <family val="2"/>
    </font>
    <font>
      <b val="true"/>
      <sz val="13"/>
      <color rgb="FF1E3A5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EF3F8"/>
      </patternFill>
    </fill>
    <fill>
      <patternFill patternType="solid">
        <fgColor rgb="FFD6E4F0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1E3A5F"/>
        <bgColor rgb="FF1F3864"/>
      </patternFill>
    </fill>
    <fill>
      <patternFill patternType="solid">
        <fgColor rgb="FFEEF3F8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6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EEF3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8C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E3A5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5"/>
  </cols>
  <sheetData>
    <row r="1" customFormat="false" ht="1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6" t="s">
        <v>6</v>
      </c>
      <c r="B5" s="6"/>
      <c r="C5" s="6"/>
      <c r="D5" s="6"/>
    </row>
    <row r="6" customFormat="false" ht="15" hidden="false" customHeight="true" outlineLevel="0" collapsed="false">
      <c r="A6" s="7" t="s">
        <v>7</v>
      </c>
      <c r="B6" s="8" t="n">
        <v>52</v>
      </c>
      <c r="C6" s="8" t="n">
        <v>52</v>
      </c>
      <c r="D6" s="8" t="n">
        <v>148</v>
      </c>
    </row>
    <row r="7" customFormat="false" ht="15" hidden="false" customHeight="true" outlineLevel="0" collapsed="false">
      <c r="A7" s="7" t="s">
        <v>8</v>
      </c>
      <c r="B7" s="8" t="n">
        <v>7790</v>
      </c>
      <c r="C7" s="8" t="n">
        <v>4368</v>
      </c>
      <c r="D7" s="8" t="n">
        <v>16872</v>
      </c>
    </row>
    <row r="8" customFormat="false" ht="15" hidden="false" customHeight="true" outlineLevel="0" collapsed="false">
      <c r="A8" s="7" t="s">
        <v>9</v>
      </c>
      <c r="B8" s="8" t="n">
        <v>38952</v>
      </c>
      <c r="C8" s="8" t="n">
        <v>24024</v>
      </c>
      <c r="D8" s="8" t="n">
        <v>118104</v>
      </c>
    </row>
    <row r="9" customFormat="false" ht="15" hidden="false" customHeight="true" outlineLevel="0" collapsed="false">
      <c r="A9" s="6" t="s">
        <v>10</v>
      </c>
      <c r="B9" s="6"/>
      <c r="C9" s="6"/>
      <c r="D9" s="6"/>
    </row>
    <row r="10" customFormat="false" ht="15" hidden="false" customHeight="true" outlineLevel="0" collapsed="false">
      <c r="A10" s="7" t="s">
        <v>11</v>
      </c>
      <c r="B10" s="9" t="n">
        <v>158968</v>
      </c>
      <c r="C10" s="9" t="n">
        <v>478348</v>
      </c>
      <c r="D10" s="9" t="n">
        <v>2645192</v>
      </c>
    </row>
    <row r="11" customFormat="false" ht="15" hidden="false" customHeight="true" outlineLevel="0" collapsed="false">
      <c r="A11" s="7" t="s">
        <v>12</v>
      </c>
      <c r="B11" s="9" t="n">
        <v>42228</v>
      </c>
      <c r="C11" s="9" t="n">
        <v>102313</v>
      </c>
      <c r="D11" s="9" t="n">
        <v>592799</v>
      </c>
    </row>
    <row r="12" customFormat="false" ht="15" hidden="false" customHeight="true" outlineLevel="0" collapsed="false">
      <c r="A12" s="7" t="s">
        <v>13</v>
      </c>
      <c r="B12" s="9" t="n">
        <v>33958</v>
      </c>
      <c r="C12" s="9" t="n">
        <v>110512</v>
      </c>
      <c r="D12" s="9" t="n">
        <v>757303</v>
      </c>
    </row>
    <row r="13" customFormat="false" ht="15" hidden="false" customHeight="true" outlineLevel="0" collapsed="false">
      <c r="A13" s="10" t="s">
        <v>14</v>
      </c>
      <c r="B13" s="11" t="n">
        <v>235154</v>
      </c>
      <c r="C13" s="11" t="n">
        <v>691173</v>
      </c>
      <c r="D13" s="11" t="n">
        <v>3995294</v>
      </c>
    </row>
    <row r="14" customFormat="false" ht="15" hidden="false" customHeight="true" outlineLevel="0" collapsed="false">
      <c r="A14" s="6" t="s">
        <v>15</v>
      </c>
      <c r="B14" s="6"/>
      <c r="C14" s="6"/>
      <c r="D14" s="6"/>
    </row>
    <row r="15" customFormat="false" ht="15" hidden="false" customHeight="true" outlineLevel="0" collapsed="false">
      <c r="A15" s="7" t="s">
        <v>16</v>
      </c>
      <c r="B15" s="9" t="n">
        <v>1545</v>
      </c>
      <c r="C15" s="9" t="n">
        <v>2358</v>
      </c>
      <c r="D15" s="9" t="n">
        <v>3108</v>
      </c>
    </row>
    <row r="16" customFormat="false" ht="15" hidden="false" customHeight="true" outlineLevel="0" collapsed="false">
      <c r="A16" s="7" t="s">
        <v>17</v>
      </c>
      <c r="B16" s="9" t="n">
        <v>1100</v>
      </c>
      <c r="C16" s="9" t="n">
        <v>1200</v>
      </c>
      <c r="D16" s="9" t="n">
        <v>1200</v>
      </c>
    </row>
    <row r="17" customFormat="false" ht="15" hidden="false" customHeight="true" outlineLevel="0" collapsed="false">
      <c r="A17" s="7" t="s">
        <v>18</v>
      </c>
      <c r="B17" s="9" t="n">
        <v>0</v>
      </c>
      <c r="C17" s="9" t="n">
        <v>1622</v>
      </c>
      <c r="D17" s="9" t="n">
        <v>1622</v>
      </c>
    </row>
    <row r="18" customFormat="false" ht="15" hidden="false" customHeight="true" outlineLevel="0" collapsed="false">
      <c r="A18" s="7" t="s">
        <v>19</v>
      </c>
      <c r="B18" s="9" t="n">
        <v>5879</v>
      </c>
      <c r="C18" s="9" t="n">
        <v>17279</v>
      </c>
      <c r="D18" s="9" t="n">
        <v>99882</v>
      </c>
    </row>
    <row r="19" customFormat="false" ht="15" hidden="false" customHeight="true" outlineLevel="0" collapsed="false">
      <c r="A19" s="7" t="s">
        <v>20</v>
      </c>
      <c r="B19" s="9" t="n">
        <v>349</v>
      </c>
      <c r="C19" s="9" t="n">
        <v>1136</v>
      </c>
      <c r="D19" s="9" t="n">
        <v>7797</v>
      </c>
    </row>
    <row r="20" customFormat="false" ht="15" hidden="false" customHeight="true" outlineLevel="0" collapsed="false">
      <c r="A20" s="10" t="s">
        <v>21</v>
      </c>
      <c r="B20" s="11" t="n">
        <v>8873</v>
      </c>
      <c r="C20" s="11" t="n">
        <v>23595</v>
      </c>
      <c r="D20" s="11" t="n">
        <v>113609</v>
      </c>
    </row>
    <row r="21" customFormat="false" ht="15" hidden="false" customHeight="true" outlineLevel="0" collapsed="false">
      <c r="A21" s="10" t="s">
        <v>22</v>
      </c>
      <c r="B21" s="11" t="n">
        <v>226281</v>
      </c>
      <c r="C21" s="11" t="n">
        <v>667578</v>
      </c>
      <c r="D21" s="11" t="n">
        <v>3881685</v>
      </c>
    </row>
    <row r="22" customFormat="false" ht="15" hidden="false" customHeight="true" outlineLevel="0" collapsed="false">
      <c r="A22" s="7" t="s">
        <v>23</v>
      </c>
      <c r="B22" s="12" t="n">
        <v>0.962</v>
      </c>
      <c r="C22" s="12" t="n">
        <v>0.965</v>
      </c>
      <c r="D22" s="12" t="n">
        <v>0.971</v>
      </c>
    </row>
    <row r="23" customFormat="false" ht="15" hidden="false" customHeight="true" outlineLevel="0" collapsed="false">
      <c r="A23" s="6" t="s">
        <v>24</v>
      </c>
      <c r="B23" s="6"/>
      <c r="C23" s="6"/>
      <c r="D23" s="6"/>
    </row>
    <row r="24" customFormat="false" ht="15" hidden="false" customHeight="true" outlineLevel="0" collapsed="false">
      <c r="A24" s="13" t="s">
        <v>25</v>
      </c>
      <c r="B24" s="14" t="n">
        <v>0.676</v>
      </c>
      <c r="C24" s="14" t="n">
        <v>0.692</v>
      </c>
      <c r="D24" s="14" t="n">
        <v>0.662</v>
      </c>
    </row>
    <row r="25" customFormat="false" ht="15" hidden="false" customHeight="true" outlineLevel="0" collapsed="false">
      <c r="A25" s="13" t="s">
        <v>26</v>
      </c>
      <c r="B25" s="14" t="n">
        <v>0.18</v>
      </c>
      <c r="C25" s="14" t="n">
        <v>0.148</v>
      </c>
      <c r="D25" s="14" t="n">
        <v>0.148</v>
      </c>
    </row>
    <row r="26" customFormat="false" ht="15" hidden="false" customHeight="true" outlineLevel="0" collapsed="false">
      <c r="A26" s="13" t="s">
        <v>27</v>
      </c>
      <c r="B26" s="14" t="n">
        <v>0.144</v>
      </c>
      <c r="C26" s="14" t="n">
        <v>0.16</v>
      </c>
      <c r="D26" s="14" t="n">
        <v>0.19</v>
      </c>
    </row>
    <row r="27" customFormat="false" ht="15" hidden="false" customHeight="true" outlineLevel="0" collapsed="false">
      <c r="A27" s="6" t="s">
        <v>28</v>
      </c>
      <c r="B27" s="6"/>
      <c r="C27" s="6"/>
      <c r="D27" s="6"/>
    </row>
    <row r="28" customFormat="false" ht="15" hidden="false" customHeight="true" outlineLevel="0" collapsed="false">
      <c r="A28" s="7" t="s">
        <v>29</v>
      </c>
      <c r="B28" s="9" t="n">
        <v>30</v>
      </c>
      <c r="C28" s="9" t="n">
        <v>158</v>
      </c>
      <c r="D28" s="9" t="n">
        <v>237</v>
      </c>
    </row>
    <row r="29" customFormat="false" ht="15" hidden="false" customHeight="true" outlineLevel="0" collapsed="false">
      <c r="A29" s="7" t="s">
        <v>30</v>
      </c>
      <c r="B29" s="9" t="n">
        <v>1</v>
      </c>
      <c r="C29" s="9" t="n">
        <v>5</v>
      </c>
      <c r="D29" s="9" t="n">
        <v>7</v>
      </c>
    </row>
    <row r="30" customFormat="false" ht="15" hidden="false" customHeight="true" outlineLevel="0" collapsed="false">
      <c r="A30" s="7" t="s">
        <v>31</v>
      </c>
      <c r="B30" s="8" t="n">
        <v>1757</v>
      </c>
      <c r="C30" s="8" t="n">
        <v>1757</v>
      </c>
      <c r="D30" s="8" t="n">
        <v>1757</v>
      </c>
    </row>
  </sheetData>
  <mergeCells count="6">
    <mergeCell ref="A1:D1"/>
    <mergeCell ref="A5:D5"/>
    <mergeCell ref="A9:D9"/>
    <mergeCell ref="A14:D14"/>
    <mergeCell ref="A23:D23"/>
    <mergeCell ref="A27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"/>
    <col collapsed="false" customWidth="true" hidden="false" outlineLevel="0" max="4" min="3" style="1" width="9"/>
    <col collapsed="false" customWidth="true" hidden="false" outlineLevel="0" max="6" min="5" style="1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false" outlineLevel="0" max="9" min="9" style="1" width="9"/>
    <col collapsed="false" customWidth="true" hidden="false" outlineLevel="0" max="10" min="10" style="1" width="10"/>
    <col collapsed="false" customWidth="true" hidden="false" outlineLevel="0" max="13" min="11" style="1" width="6"/>
  </cols>
  <sheetData>
    <row r="1" customFormat="false" ht="15" hidden="false" customHeight="true" outlineLevel="0" collapsed="false">
      <c r="A1" s="2" t="s">
        <v>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true" outlineLevel="0" collapsed="false">
      <c r="A2" s="3" t="s">
        <v>33</v>
      </c>
    </row>
    <row r="4" customFormat="false" ht="15" hidden="false" customHeight="true" outlineLevel="0" collapsed="false">
      <c r="A4" s="5" t="s">
        <v>34</v>
      </c>
      <c r="B4" s="5" t="s">
        <v>35</v>
      </c>
      <c r="C4" s="5" t="s">
        <v>36</v>
      </c>
      <c r="D4" s="5" t="s">
        <v>37</v>
      </c>
      <c r="E4" s="5" t="s">
        <v>38</v>
      </c>
      <c r="F4" s="5" t="s">
        <v>39</v>
      </c>
      <c r="G4" s="5" t="s">
        <v>40</v>
      </c>
      <c r="H4" s="5" t="s">
        <v>41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</row>
    <row r="5" customFormat="false" ht="15" hidden="false" customHeight="true" outlineLevel="0" collapsed="false">
      <c r="A5" s="15" t="n">
        <v>1</v>
      </c>
      <c r="B5" s="15" t="n">
        <v>1</v>
      </c>
      <c r="C5" s="16" t="n">
        <v>64</v>
      </c>
      <c r="D5" s="16" t="n">
        <v>144</v>
      </c>
      <c r="E5" s="17" t="n">
        <v>388</v>
      </c>
      <c r="F5" s="17" t="n">
        <v>30</v>
      </c>
      <c r="G5" s="17" t="n">
        <v>39</v>
      </c>
      <c r="H5" s="17" t="n">
        <v>457</v>
      </c>
      <c r="I5" s="17" t="n">
        <v>37</v>
      </c>
      <c r="J5" s="17" t="n">
        <v>420</v>
      </c>
      <c r="K5" s="18" t="n">
        <v>0.85</v>
      </c>
      <c r="L5" s="18" t="n">
        <v>0.07</v>
      </c>
      <c r="M5" s="18" t="n">
        <v>0.08</v>
      </c>
    </row>
    <row r="6" customFormat="false" ht="15" hidden="false" customHeight="true" outlineLevel="0" collapsed="false">
      <c r="A6" s="19" t="n">
        <v>2</v>
      </c>
      <c r="B6" s="19" t="n">
        <v>1</v>
      </c>
      <c r="C6" s="8" t="n">
        <v>69</v>
      </c>
      <c r="D6" s="8" t="n">
        <v>172</v>
      </c>
      <c r="E6" s="9" t="n">
        <v>416</v>
      </c>
      <c r="F6" s="9" t="n">
        <v>38</v>
      </c>
      <c r="G6" s="9" t="n">
        <v>46</v>
      </c>
      <c r="H6" s="9" t="n">
        <v>500</v>
      </c>
      <c r="I6" s="9" t="n">
        <v>37</v>
      </c>
      <c r="J6" s="9" t="n">
        <v>463</v>
      </c>
      <c r="K6" s="20" t="n">
        <v>0.83</v>
      </c>
      <c r="L6" s="20" t="n">
        <v>0.08</v>
      </c>
      <c r="M6" s="20" t="n">
        <v>0.09</v>
      </c>
    </row>
    <row r="7" customFormat="false" ht="15" hidden="false" customHeight="true" outlineLevel="0" collapsed="false">
      <c r="A7" s="15" t="n">
        <v>3</v>
      </c>
      <c r="B7" s="15" t="n">
        <v>1</v>
      </c>
      <c r="C7" s="16" t="n">
        <v>74</v>
      </c>
      <c r="D7" s="16" t="n">
        <v>203</v>
      </c>
      <c r="E7" s="17" t="n">
        <v>447</v>
      </c>
      <c r="F7" s="17" t="n">
        <v>48</v>
      </c>
      <c r="G7" s="17" t="n">
        <v>54</v>
      </c>
      <c r="H7" s="17" t="n">
        <v>549</v>
      </c>
      <c r="I7" s="17" t="n">
        <v>37</v>
      </c>
      <c r="J7" s="17" t="n">
        <v>512</v>
      </c>
      <c r="K7" s="18" t="n">
        <v>0.81</v>
      </c>
      <c r="L7" s="18" t="n">
        <v>0.09</v>
      </c>
      <c r="M7" s="18" t="n">
        <v>0.1</v>
      </c>
    </row>
    <row r="8" customFormat="false" ht="15" hidden="false" customHeight="true" outlineLevel="0" collapsed="false">
      <c r="A8" s="19" t="n">
        <v>4</v>
      </c>
      <c r="B8" s="19" t="n">
        <v>4</v>
      </c>
      <c r="C8" s="8" t="n">
        <v>318</v>
      </c>
      <c r="D8" s="8" t="n">
        <v>954</v>
      </c>
      <c r="E8" s="9" t="n">
        <v>1922</v>
      </c>
      <c r="F8" s="9" t="n">
        <v>242</v>
      </c>
      <c r="G8" s="9" t="n">
        <v>254</v>
      </c>
      <c r="H8" s="9" t="n">
        <v>2417</v>
      </c>
      <c r="I8" s="9" t="n">
        <v>140</v>
      </c>
      <c r="J8" s="9" t="n">
        <v>2277</v>
      </c>
      <c r="K8" s="20" t="n">
        <v>0.8</v>
      </c>
      <c r="L8" s="20" t="n">
        <v>0.1</v>
      </c>
      <c r="M8" s="20" t="n">
        <v>0.1</v>
      </c>
    </row>
    <row r="9" customFormat="false" ht="15" hidden="false" customHeight="true" outlineLevel="0" collapsed="false">
      <c r="A9" s="15" t="n">
        <v>5</v>
      </c>
      <c r="B9" s="15" t="n">
        <v>4</v>
      </c>
      <c r="C9" s="16" t="n">
        <v>343</v>
      </c>
      <c r="D9" s="16" t="n">
        <v>1113</v>
      </c>
      <c r="E9" s="17" t="n">
        <v>2071</v>
      </c>
      <c r="F9" s="17" t="n">
        <v>300</v>
      </c>
      <c r="G9" s="17" t="n">
        <v>298</v>
      </c>
      <c r="H9" s="17" t="n">
        <v>2668</v>
      </c>
      <c r="I9" s="17" t="n">
        <v>140</v>
      </c>
      <c r="J9" s="17" t="n">
        <v>2528</v>
      </c>
      <c r="K9" s="18" t="n">
        <v>0.78</v>
      </c>
      <c r="L9" s="18" t="n">
        <v>0.11</v>
      </c>
      <c r="M9" s="18" t="n">
        <v>0.11</v>
      </c>
    </row>
    <row r="10" customFormat="false" ht="15" hidden="false" customHeight="true" outlineLevel="0" collapsed="false">
      <c r="A10" s="19" t="n">
        <v>6</v>
      </c>
      <c r="B10" s="19" t="n">
        <v>4</v>
      </c>
      <c r="C10" s="8" t="n">
        <v>370</v>
      </c>
      <c r="D10" s="8" t="n">
        <v>1294</v>
      </c>
      <c r="E10" s="9" t="n">
        <v>2234</v>
      </c>
      <c r="F10" s="9" t="n">
        <v>369</v>
      </c>
      <c r="G10" s="9" t="n">
        <v>349</v>
      </c>
      <c r="H10" s="9" t="n">
        <v>2952</v>
      </c>
      <c r="I10" s="9" t="n">
        <v>140</v>
      </c>
      <c r="J10" s="9" t="n">
        <v>2812</v>
      </c>
      <c r="K10" s="20" t="n">
        <v>0.76</v>
      </c>
      <c r="L10" s="20" t="n">
        <v>0.12</v>
      </c>
      <c r="M10" s="20" t="n">
        <v>0.12</v>
      </c>
    </row>
    <row r="11" customFormat="false" ht="15" hidden="false" customHeight="true" outlineLevel="0" collapsed="false">
      <c r="A11" s="15" t="n">
        <v>7</v>
      </c>
      <c r="B11" s="15" t="n">
        <v>12</v>
      </c>
      <c r="C11" s="16" t="n">
        <v>1198</v>
      </c>
      <c r="D11" s="16" t="n">
        <v>4493</v>
      </c>
      <c r="E11" s="17" t="n">
        <v>7243</v>
      </c>
      <c r="F11" s="17" t="n">
        <v>1353</v>
      </c>
      <c r="G11" s="17" t="n">
        <v>1223</v>
      </c>
      <c r="H11" s="17" t="n">
        <v>9818</v>
      </c>
      <c r="I11" s="17" t="n">
        <v>148</v>
      </c>
      <c r="J11" s="17" t="n">
        <v>9670</v>
      </c>
      <c r="K11" s="18" t="n">
        <v>0.74</v>
      </c>
      <c r="L11" s="18" t="n">
        <v>0.14</v>
      </c>
      <c r="M11" s="18" t="n">
        <v>0.12</v>
      </c>
    </row>
    <row r="12" customFormat="false" ht="15" hidden="false" customHeight="true" outlineLevel="0" collapsed="false">
      <c r="A12" s="19" t="n">
        <v>8</v>
      </c>
      <c r="B12" s="19" t="n">
        <v>20</v>
      </c>
      <c r="C12" s="8" t="n">
        <v>2161</v>
      </c>
      <c r="D12" s="8" t="n">
        <v>8642</v>
      </c>
      <c r="E12" s="9" t="n">
        <v>13061</v>
      </c>
      <c r="F12" s="9" t="n">
        <v>2739</v>
      </c>
      <c r="G12" s="9" t="n">
        <v>2380</v>
      </c>
      <c r="H12" s="9" t="n">
        <v>18179</v>
      </c>
      <c r="I12" s="9" t="n">
        <v>156</v>
      </c>
      <c r="J12" s="9" t="n">
        <v>18023</v>
      </c>
      <c r="K12" s="20" t="n">
        <v>0.72</v>
      </c>
      <c r="L12" s="20" t="n">
        <v>0.15</v>
      </c>
      <c r="M12" s="20" t="n">
        <v>0.13</v>
      </c>
    </row>
    <row r="13" customFormat="false" ht="15" hidden="false" customHeight="true" outlineLevel="0" collapsed="false">
      <c r="A13" s="15" t="n">
        <v>9</v>
      </c>
      <c r="B13" s="15" t="n">
        <v>28</v>
      </c>
      <c r="C13" s="16" t="n">
        <v>3277</v>
      </c>
      <c r="D13" s="16" t="n">
        <v>13927</v>
      </c>
      <c r="E13" s="17" t="n">
        <v>19809</v>
      </c>
      <c r="F13" s="17" t="n">
        <v>4634</v>
      </c>
      <c r="G13" s="17" t="n">
        <v>3884</v>
      </c>
      <c r="H13" s="17" t="n">
        <v>28327</v>
      </c>
      <c r="I13" s="17" t="n">
        <v>164</v>
      </c>
      <c r="J13" s="17" t="n">
        <v>28163</v>
      </c>
      <c r="K13" s="18" t="n">
        <v>0.7</v>
      </c>
      <c r="L13" s="18" t="n">
        <v>0.16</v>
      </c>
      <c r="M13" s="18" t="n">
        <v>0.14</v>
      </c>
    </row>
    <row r="14" customFormat="false" ht="15" hidden="false" customHeight="true" outlineLevel="0" collapsed="false">
      <c r="A14" s="19" t="n">
        <v>10</v>
      </c>
      <c r="B14" s="19" t="n">
        <v>36</v>
      </c>
      <c r="C14" s="8" t="n">
        <v>4570</v>
      </c>
      <c r="D14" s="8" t="n">
        <v>20564</v>
      </c>
      <c r="E14" s="9" t="n">
        <v>27624</v>
      </c>
      <c r="F14" s="9" t="n">
        <v>7168</v>
      </c>
      <c r="G14" s="9" t="n">
        <v>5816</v>
      </c>
      <c r="H14" s="9" t="n">
        <v>40608</v>
      </c>
      <c r="I14" s="9" t="n">
        <v>172</v>
      </c>
      <c r="J14" s="9" t="n">
        <v>40436</v>
      </c>
      <c r="K14" s="20" t="n">
        <v>0.68</v>
      </c>
      <c r="L14" s="20" t="n">
        <v>0.18</v>
      </c>
      <c r="M14" s="20" t="n">
        <v>0.14</v>
      </c>
    </row>
    <row r="15" customFormat="false" ht="15" hidden="false" customHeight="true" outlineLevel="0" collapsed="false">
      <c r="A15" s="15" t="n">
        <v>11</v>
      </c>
      <c r="B15" s="15" t="n">
        <v>44</v>
      </c>
      <c r="C15" s="16" t="n">
        <v>6065</v>
      </c>
      <c r="D15" s="16" t="n">
        <v>28807</v>
      </c>
      <c r="E15" s="17" t="n">
        <v>36660</v>
      </c>
      <c r="F15" s="17" t="n">
        <v>10497</v>
      </c>
      <c r="G15" s="17" t="n">
        <v>8267</v>
      </c>
      <c r="H15" s="17" t="n">
        <v>55425</v>
      </c>
      <c r="I15" s="17" t="n">
        <v>180</v>
      </c>
      <c r="J15" s="17" t="n">
        <v>55245</v>
      </c>
      <c r="K15" s="18" t="n">
        <v>0.66</v>
      </c>
      <c r="L15" s="18" t="n">
        <v>0.19</v>
      </c>
      <c r="M15" s="18" t="n">
        <v>0.15</v>
      </c>
    </row>
    <row r="16" customFormat="false" ht="15" hidden="false" customHeight="true" outlineLevel="0" collapsed="false">
      <c r="A16" s="19" t="n">
        <v>12</v>
      </c>
      <c r="B16" s="19" t="n">
        <v>52</v>
      </c>
      <c r="C16" s="8" t="n">
        <v>7790</v>
      </c>
      <c r="D16" s="8" t="n">
        <v>38952</v>
      </c>
      <c r="E16" s="9" t="n">
        <v>47093</v>
      </c>
      <c r="F16" s="9" t="n">
        <v>14811</v>
      </c>
      <c r="G16" s="9" t="n">
        <v>11350</v>
      </c>
      <c r="H16" s="9" t="n">
        <v>73254</v>
      </c>
      <c r="I16" s="9" t="n">
        <v>188</v>
      </c>
      <c r="J16" s="9" t="n">
        <v>73066</v>
      </c>
      <c r="K16" s="20" t="n">
        <v>0.64</v>
      </c>
      <c r="L16" s="20" t="n">
        <v>0.2</v>
      </c>
      <c r="M16" s="20" t="n">
        <v>0.15</v>
      </c>
    </row>
    <row r="17" customFormat="false" ht="15" hidden="false" customHeight="true" outlineLevel="0" collapsed="false">
      <c r="A17" s="10" t="s">
        <v>47</v>
      </c>
      <c r="B17" s="21"/>
      <c r="E17" s="11" t="n">
        <v>158968</v>
      </c>
      <c r="F17" s="11" t="n">
        <v>42228</v>
      </c>
      <c r="G17" s="11" t="n">
        <v>33958</v>
      </c>
      <c r="H17" s="11" t="n">
        <v>235154</v>
      </c>
      <c r="I17" s="11" t="n">
        <v>1545</v>
      </c>
      <c r="J17" s="11" t="n">
        <v>233609</v>
      </c>
      <c r="K17" s="22" t="n">
        <v>0.68</v>
      </c>
      <c r="L17" s="22" t="n">
        <v>0.18</v>
      </c>
      <c r="M17" s="22" t="n">
        <v>0.14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6" min="2" style="1" width="13"/>
  </cols>
  <sheetData>
    <row r="1" customFormat="false" ht="15" hidden="false" customHeight="true" outlineLevel="0" collapsed="false">
      <c r="A1" s="2" t="s">
        <v>48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49</v>
      </c>
    </row>
    <row r="4" customFormat="false" ht="15" hidden="false" customHeight="true" outlineLevel="0" collapsed="false">
      <c r="A4" s="5" t="s">
        <v>50</v>
      </c>
      <c r="B4" s="5" t="s">
        <v>51</v>
      </c>
      <c r="C4" s="5" t="s">
        <v>52</v>
      </c>
      <c r="D4" s="5" t="s">
        <v>53</v>
      </c>
      <c r="E4" s="5" t="s">
        <v>54</v>
      </c>
      <c r="F4" s="5" t="s">
        <v>55</v>
      </c>
    </row>
    <row r="5" customFormat="false" ht="15" hidden="false" customHeight="true" outlineLevel="0" collapsed="false">
      <c r="A5" s="13" t="s">
        <v>56</v>
      </c>
      <c r="B5" s="23" t="n">
        <v>0.08</v>
      </c>
      <c r="C5" s="23" t="n">
        <v>0.02</v>
      </c>
      <c r="D5" s="17" t="n">
        <v>67</v>
      </c>
      <c r="E5" s="24" t="n">
        <v>0.24</v>
      </c>
      <c r="F5" s="23" t="n">
        <v>0.996417910447761</v>
      </c>
    </row>
    <row r="6" customFormat="false" ht="15" hidden="false" customHeight="true" outlineLevel="0" collapsed="false">
      <c r="A6" s="7" t="s">
        <v>57</v>
      </c>
      <c r="B6" s="12" t="n">
        <v>0.1</v>
      </c>
      <c r="C6" s="12" t="n">
        <v>0.03</v>
      </c>
      <c r="D6" s="9" t="n">
        <v>295</v>
      </c>
      <c r="E6" s="25" t="n">
        <v>1.06</v>
      </c>
      <c r="F6" s="12" t="n">
        <v>0.996406779661017</v>
      </c>
    </row>
    <row r="7" customFormat="false" ht="15" hidden="false" customHeight="true" outlineLevel="0" collapsed="false">
      <c r="A7" s="13" t="s">
        <v>58</v>
      </c>
      <c r="B7" s="23" t="n">
        <v>0.14</v>
      </c>
      <c r="C7" s="23" t="n">
        <v>0.05</v>
      </c>
      <c r="D7" s="17" t="n">
        <v>8200</v>
      </c>
      <c r="E7" s="24" t="n">
        <v>29.5</v>
      </c>
      <c r="F7" s="23" t="n">
        <v>0.99640243902439</v>
      </c>
    </row>
    <row r="8" customFormat="false" ht="15" hidden="false" customHeight="true" outlineLevel="0" collapsed="false">
      <c r="A8" s="7" t="s">
        <v>59</v>
      </c>
      <c r="B8" s="12" t="n">
        <v>0.2</v>
      </c>
      <c r="C8" s="12" t="n">
        <v>0.07</v>
      </c>
      <c r="D8" s="9" t="n">
        <v>11400</v>
      </c>
      <c r="E8" s="25" t="n">
        <v>41</v>
      </c>
      <c r="F8" s="12" t="n">
        <v>0.99640350877193</v>
      </c>
    </row>
    <row r="9" customFormat="false" ht="15" hidden="false" customHeight="true" outlineLevel="0" collapsed="false">
      <c r="A9" s="13" t="s">
        <v>60</v>
      </c>
      <c r="B9" s="23" t="n">
        <v>0.35</v>
      </c>
      <c r="C9" s="23" t="n">
        <v>0.1</v>
      </c>
      <c r="D9" s="17" t="n">
        <v>63000</v>
      </c>
      <c r="E9" s="24" t="n">
        <v>226.8</v>
      </c>
      <c r="F9" s="23" t="n">
        <v>0.9964</v>
      </c>
    </row>
    <row r="10" customFormat="false" ht="15" hidden="false" customHeight="true" outlineLevel="0" collapsed="false">
      <c r="A10" s="7" t="s">
        <v>61</v>
      </c>
      <c r="B10" s="12" t="n">
        <v>0.6</v>
      </c>
      <c r="C10" s="12" t="n">
        <v>0.15</v>
      </c>
      <c r="D10" s="9" t="n">
        <v>108000</v>
      </c>
      <c r="E10" s="25" t="n">
        <v>388.8</v>
      </c>
      <c r="F10" s="12" t="n">
        <v>0.9964</v>
      </c>
    </row>
    <row r="12" customFormat="false" ht="15" hidden="false" customHeight="true" outlineLevel="0" collapsed="false">
      <c r="A12" s="6" t="s">
        <v>62</v>
      </c>
      <c r="B12" s="6"/>
      <c r="C12" s="6"/>
      <c r="D12" s="6"/>
      <c r="E12" s="6"/>
      <c r="F12" s="6"/>
    </row>
    <row r="13" customFormat="false" ht="15" hidden="false" customHeight="true" outlineLevel="0" collapsed="false">
      <c r="A13" s="26" t="s">
        <v>63</v>
      </c>
      <c r="B13" s="26"/>
      <c r="C13" s="26"/>
      <c r="D13" s="26"/>
      <c r="E13" s="26"/>
      <c r="F13" s="26"/>
    </row>
    <row r="14" customFormat="false" ht="15" hidden="false" customHeight="true" outlineLevel="0" collapsed="false">
      <c r="A14" s="26" t="s">
        <v>64</v>
      </c>
      <c r="B14" s="26"/>
      <c r="C14" s="26"/>
      <c r="D14" s="26"/>
      <c r="E14" s="26"/>
      <c r="F14" s="26"/>
    </row>
    <row r="15" customFormat="false" ht="15" hidden="false" customHeight="true" outlineLevel="0" collapsed="false">
      <c r="A15" s="26" t="s">
        <v>65</v>
      </c>
      <c r="B15" s="26"/>
      <c r="C15" s="26"/>
      <c r="D15" s="26"/>
      <c r="E15" s="26"/>
      <c r="F15" s="26"/>
    </row>
    <row r="16" customFormat="false" ht="15" hidden="false" customHeight="true" outlineLevel="0" collapsed="false">
      <c r="A16" s="26" t="s">
        <v>66</v>
      </c>
      <c r="B16" s="26"/>
      <c r="C16" s="26"/>
      <c r="D16" s="26"/>
      <c r="E16" s="26"/>
      <c r="F16" s="26"/>
    </row>
    <row r="17" customFormat="false" ht="15" hidden="false" customHeight="true" outlineLevel="0" collapsed="false">
      <c r="A17" s="26" t="s">
        <v>67</v>
      </c>
      <c r="B17" s="26"/>
      <c r="C17" s="26"/>
      <c r="D17" s="26"/>
      <c r="E17" s="26"/>
      <c r="F17" s="26"/>
    </row>
    <row r="18" customFormat="false" ht="15" hidden="false" customHeight="true" outlineLevel="0" collapsed="false">
      <c r="A18" s="26" t="s">
        <v>68</v>
      </c>
      <c r="B18" s="26"/>
      <c r="C18" s="26"/>
      <c r="D18" s="26"/>
      <c r="E18" s="26"/>
      <c r="F18" s="26"/>
    </row>
    <row r="19" customFormat="false" ht="15" hidden="false" customHeight="false" outlineLevel="0" collapsed="false">
      <c r="A19" s="27" t="s">
        <v>69</v>
      </c>
    </row>
  </sheetData>
  <mergeCells count="8">
    <mergeCell ref="A1:F1"/>
    <mergeCell ref="A12:F12"/>
    <mergeCell ref="A13:F13"/>
    <mergeCell ref="A14:F14"/>
    <mergeCell ref="A15:F15"/>
    <mergeCell ref="A16:F16"/>
    <mergeCell ref="A17:F17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5"/>
    <col collapsed="false" customWidth="true" hidden="false" outlineLevel="0" max="3" min="3" style="1" width="50"/>
  </cols>
  <sheetData>
    <row r="1" customFormat="false" ht="15" hidden="false" customHeight="true" outlineLevel="0" collapsed="false">
      <c r="A1" s="2" t="s">
        <v>70</v>
      </c>
      <c r="B1" s="2"/>
      <c r="C1" s="2"/>
    </row>
    <row r="2" customFormat="false" ht="15" hidden="false" customHeight="true" outlineLevel="0" collapsed="false">
      <c r="A2" s="3" t="s">
        <v>71</v>
      </c>
    </row>
    <row r="4" customFormat="false" ht="15" hidden="false" customHeight="true" outlineLevel="0" collapsed="false">
      <c r="A4" s="6" t="s">
        <v>72</v>
      </c>
      <c r="B4" s="6"/>
      <c r="C4" s="6"/>
    </row>
    <row r="5" customFormat="false" ht="15" hidden="false" customHeight="true" outlineLevel="0" collapsed="false">
      <c r="A5" s="7" t="s">
        <v>73</v>
      </c>
      <c r="B5" s="28" t="n">
        <v>0</v>
      </c>
      <c r="C5" s="3" t="s">
        <v>74</v>
      </c>
    </row>
    <row r="6" customFormat="false" ht="15" hidden="false" customHeight="true" outlineLevel="0" collapsed="false">
      <c r="A6" s="7" t="s">
        <v>75</v>
      </c>
      <c r="B6" s="28" t="n">
        <v>5</v>
      </c>
      <c r="C6" s="3" t="s">
        <v>76</v>
      </c>
    </row>
    <row r="7" customFormat="false" ht="15" hidden="false" customHeight="true" outlineLevel="0" collapsed="false">
      <c r="A7" s="7" t="s">
        <v>77</v>
      </c>
      <c r="B7" s="28" t="n">
        <v>20</v>
      </c>
      <c r="C7" s="3" t="s">
        <v>78</v>
      </c>
    </row>
    <row r="8" customFormat="false" ht="15" hidden="false" customHeight="true" outlineLevel="0" collapsed="false">
      <c r="A8" s="7" t="s">
        <v>79</v>
      </c>
      <c r="B8" s="28" t="n">
        <v>0</v>
      </c>
      <c r="C8" s="3" t="s">
        <v>80</v>
      </c>
    </row>
    <row r="9" customFormat="false" ht="15" hidden="false" customHeight="true" outlineLevel="0" collapsed="false">
      <c r="A9" s="6" t="s">
        <v>81</v>
      </c>
      <c r="B9" s="6"/>
      <c r="C9" s="6"/>
    </row>
    <row r="10" customFormat="false" ht="15" hidden="false" customHeight="true" outlineLevel="0" collapsed="false">
      <c r="A10" s="7" t="s">
        <v>82</v>
      </c>
      <c r="B10" s="29" t="n">
        <v>0.65</v>
      </c>
      <c r="C10" s="3" t="s">
        <v>83</v>
      </c>
    </row>
    <row r="11" customFormat="false" ht="15" hidden="false" customHeight="true" outlineLevel="0" collapsed="false">
      <c r="A11" s="7" t="s">
        <v>84</v>
      </c>
      <c r="B11" s="29" t="n">
        <v>0.25</v>
      </c>
    </row>
    <row r="12" customFormat="false" ht="15" hidden="false" customHeight="true" outlineLevel="0" collapsed="false">
      <c r="A12" s="7" t="s">
        <v>85</v>
      </c>
      <c r="B12" s="29" t="n">
        <v>0.08</v>
      </c>
    </row>
    <row r="13" customFormat="false" ht="15" hidden="false" customHeight="true" outlineLevel="0" collapsed="false">
      <c r="A13" s="7" t="s">
        <v>86</v>
      </c>
      <c r="B13" s="29" t="n">
        <v>0.02</v>
      </c>
    </row>
    <row r="14" customFormat="false" ht="15" hidden="false" customHeight="true" outlineLevel="0" collapsed="false">
      <c r="A14" s="7" t="s">
        <v>87</v>
      </c>
      <c r="B14" s="29"/>
      <c r="C14" s="1" t="s">
        <v>88</v>
      </c>
    </row>
    <row r="15" customFormat="false" ht="15" hidden="false" customHeight="true" outlineLevel="0" collapsed="false">
      <c r="A15" s="6" t="s">
        <v>89</v>
      </c>
      <c r="B15" s="6"/>
      <c r="C15" s="6"/>
    </row>
    <row r="16" customFormat="false" ht="15" hidden="false" customHeight="true" outlineLevel="0" collapsed="false">
      <c r="A16" s="7" t="s">
        <v>90</v>
      </c>
      <c r="B16" s="28" t="n">
        <v>2</v>
      </c>
      <c r="C16" s="3" t="s">
        <v>91</v>
      </c>
    </row>
    <row r="17" customFormat="false" ht="15" hidden="false" customHeight="true" outlineLevel="0" collapsed="false">
      <c r="A17" s="7" t="s">
        <v>92</v>
      </c>
      <c r="B17" s="30" t="n">
        <v>0.15</v>
      </c>
      <c r="C17" s="3" t="s">
        <v>93</v>
      </c>
    </row>
    <row r="18" customFormat="false" ht="15" hidden="false" customHeight="true" outlineLevel="0" collapsed="false">
      <c r="A18" s="7" t="s">
        <v>94</v>
      </c>
      <c r="B18" s="30" t="n">
        <v>0.35</v>
      </c>
      <c r="C18" s="3" t="s">
        <v>95</v>
      </c>
    </row>
    <row r="19" customFormat="false" ht="15" hidden="false" customHeight="true" outlineLevel="0" collapsed="false">
      <c r="A19" s="7" t="s">
        <v>96</v>
      </c>
      <c r="B19" s="29" t="n">
        <v>0.65</v>
      </c>
      <c r="C19" s="3" t="s">
        <v>97</v>
      </c>
    </row>
    <row r="20" customFormat="false" ht="15" hidden="false" customHeight="true" outlineLevel="0" collapsed="false">
      <c r="A20" s="7" t="s">
        <v>98</v>
      </c>
      <c r="B20" s="31" t="n">
        <v>2.5</v>
      </c>
      <c r="C20" s="3" t="s">
        <v>99</v>
      </c>
    </row>
    <row r="21" customFormat="false" ht="15" hidden="false" customHeight="true" outlineLevel="0" collapsed="false">
      <c r="A21" s="7" t="s">
        <v>100</v>
      </c>
      <c r="B21" s="31" t="n">
        <v>6</v>
      </c>
      <c r="C21" s="3" t="s">
        <v>101</v>
      </c>
    </row>
    <row r="22" customFormat="false" ht="15" hidden="false" customHeight="true" outlineLevel="0" collapsed="false">
      <c r="A22" s="6" t="s">
        <v>102</v>
      </c>
      <c r="B22" s="6"/>
      <c r="C22" s="6"/>
    </row>
    <row r="23" customFormat="false" ht="15" hidden="false" customHeight="true" outlineLevel="0" collapsed="false">
      <c r="A23" s="7" t="s">
        <v>103</v>
      </c>
      <c r="B23" s="29" t="n">
        <v>0.08</v>
      </c>
      <c r="C23" s="3" t="s">
        <v>104</v>
      </c>
    </row>
    <row r="24" customFormat="false" ht="15" hidden="false" customHeight="true" outlineLevel="0" collapsed="false">
      <c r="A24" s="7" t="s">
        <v>105</v>
      </c>
      <c r="B24" s="29" t="n">
        <v>0.35</v>
      </c>
      <c r="C24" s="3" t="s">
        <v>106</v>
      </c>
    </row>
    <row r="25" customFormat="false" ht="15" hidden="false" customHeight="true" outlineLevel="0" collapsed="false">
      <c r="A25" s="7" t="s">
        <v>107</v>
      </c>
      <c r="B25" s="31" t="n">
        <v>3</v>
      </c>
      <c r="C25" s="3" t="s">
        <v>108</v>
      </c>
    </row>
    <row r="26" customFormat="false" ht="15" hidden="false" customHeight="true" outlineLevel="0" collapsed="false">
      <c r="A26" s="7" t="s">
        <v>109</v>
      </c>
      <c r="B26" s="29" t="n">
        <v>0.02</v>
      </c>
      <c r="C26" s="3" t="s">
        <v>110</v>
      </c>
    </row>
    <row r="27" customFormat="false" ht="15" hidden="false" customHeight="true" outlineLevel="0" collapsed="false">
      <c r="A27" s="7" t="s">
        <v>111</v>
      </c>
      <c r="B27" s="29" t="n">
        <v>0.1</v>
      </c>
      <c r="C27" s="3" t="s">
        <v>112</v>
      </c>
    </row>
    <row r="28" customFormat="false" ht="15" hidden="false" customHeight="true" outlineLevel="0" collapsed="false">
      <c r="A28" s="7" t="s">
        <v>113</v>
      </c>
      <c r="B28" s="28" t="n">
        <v>0.004</v>
      </c>
      <c r="C28" s="3" t="s">
        <v>114</v>
      </c>
    </row>
    <row r="29" customFormat="false" ht="15" hidden="false" customHeight="true" outlineLevel="0" collapsed="false">
      <c r="A29" s="6" t="s">
        <v>115</v>
      </c>
      <c r="B29" s="6"/>
      <c r="C29" s="6"/>
    </row>
    <row r="30" customFormat="false" ht="15" hidden="false" customHeight="true" outlineLevel="0" collapsed="false">
      <c r="A30" s="7" t="s">
        <v>116</v>
      </c>
      <c r="B30" s="28" t="n">
        <v>15.49</v>
      </c>
      <c r="C30" s="3" t="s">
        <v>117</v>
      </c>
    </row>
    <row r="31" customFormat="false" ht="15" hidden="false" customHeight="true" outlineLevel="0" collapsed="false">
      <c r="A31" s="7" t="s">
        <v>118</v>
      </c>
      <c r="B31" s="28" t="n">
        <v>1</v>
      </c>
      <c r="C31" s="3" t="s">
        <v>119</v>
      </c>
    </row>
    <row r="32" customFormat="false" ht="15" hidden="false" customHeight="true" outlineLevel="0" collapsed="false">
      <c r="A32" s="7" t="s">
        <v>120</v>
      </c>
      <c r="B32" s="28" t="n">
        <v>20</v>
      </c>
      <c r="C32" s="3" t="s">
        <v>121</v>
      </c>
    </row>
    <row r="33" customFormat="false" ht="15" hidden="false" customHeight="true" outlineLevel="0" collapsed="false">
      <c r="A33" s="7" t="s">
        <v>122</v>
      </c>
      <c r="B33" s="28" t="n">
        <v>1</v>
      </c>
      <c r="C33" s="3" t="s">
        <v>123</v>
      </c>
    </row>
    <row r="34" customFormat="false" ht="15" hidden="false" customHeight="true" outlineLevel="0" collapsed="false">
      <c r="A34" s="7" t="s">
        <v>124</v>
      </c>
      <c r="B34" s="28" t="n">
        <v>100</v>
      </c>
      <c r="C34" s="3" t="s">
        <v>125</v>
      </c>
    </row>
    <row r="35" customFormat="false" ht="15" hidden="false" customHeight="true" outlineLevel="0" collapsed="false">
      <c r="A35" s="7" t="s">
        <v>18</v>
      </c>
      <c r="B35" s="28" t="n">
        <v>135.14</v>
      </c>
      <c r="C35" s="3" t="s">
        <v>126</v>
      </c>
    </row>
    <row r="36" customFormat="false" ht="15" hidden="false" customHeight="true" outlineLevel="0" collapsed="false">
      <c r="A36" s="7" t="s">
        <v>127</v>
      </c>
      <c r="B36" s="29" t="n">
        <v>0.025</v>
      </c>
      <c r="C36" s="3" t="s">
        <v>128</v>
      </c>
    </row>
    <row r="37" customFormat="false" ht="15" hidden="false" customHeight="true" outlineLevel="0" collapsed="false">
      <c r="A37" s="7" t="s">
        <v>129</v>
      </c>
      <c r="B37" s="30" t="n">
        <v>18.5</v>
      </c>
      <c r="C37" s="3" t="s">
        <v>130</v>
      </c>
    </row>
    <row r="38" customFormat="false" ht="15" hidden="false" customHeight="true" outlineLevel="0" collapsed="false">
      <c r="A38" s="6" t="s">
        <v>131</v>
      </c>
      <c r="B38" s="6"/>
      <c r="C38" s="6"/>
    </row>
    <row r="39" customFormat="false" ht="15" hidden="false" customHeight="true" outlineLevel="0" collapsed="false">
      <c r="A39" s="7" t="s">
        <v>132</v>
      </c>
      <c r="B39" s="32" t="n">
        <v>0</v>
      </c>
      <c r="C39" s="3" t="s">
        <v>133</v>
      </c>
    </row>
    <row r="40" customFormat="false" ht="15" hidden="false" customHeight="true" outlineLevel="0" collapsed="false">
      <c r="A40" s="7" t="s">
        <v>134</v>
      </c>
      <c r="B40" s="31" t="n">
        <v>20</v>
      </c>
      <c r="C40" s="3" t="s">
        <v>135</v>
      </c>
    </row>
  </sheetData>
  <mergeCells count="7">
    <mergeCell ref="A1:C1"/>
    <mergeCell ref="A4:C4"/>
    <mergeCell ref="A9:C9"/>
    <mergeCell ref="A15:C15"/>
    <mergeCell ref="A22:C22"/>
    <mergeCell ref="A29:C29"/>
    <mergeCell ref="A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16.15" hidden="false" customHeight="false" outlineLevel="0" collapsed="false">
      <c r="A1" s="33" t="s">
        <v>136</v>
      </c>
    </row>
    <row r="2" customFormat="false" ht="15" hidden="false" customHeight="false" outlineLevel="0" collapsed="false">
      <c r="A2" s="27" t="s">
        <v>137</v>
      </c>
    </row>
    <row r="4" customFormat="false" ht="15" hidden="false" customHeight="false" outlineLevel="0" collapsed="false">
      <c r="A4" s="34" t="s">
        <v>138</v>
      </c>
      <c r="B4" s="35"/>
      <c r="C4" s="35"/>
    </row>
    <row r="5" customFormat="false" ht="15" hidden="false" customHeight="false" outlineLevel="0" collapsed="false">
      <c r="A5" s="36" t="s">
        <v>139</v>
      </c>
      <c r="B5" s="37" t="n">
        <v>3</v>
      </c>
    </row>
    <row r="6" customFormat="false" ht="15" hidden="false" customHeight="false" outlineLevel="0" collapsed="false">
      <c r="A6" s="36" t="s">
        <v>140</v>
      </c>
      <c r="B6" s="37" t="n">
        <v>15</v>
      </c>
    </row>
    <row r="7" customFormat="false" ht="15" hidden="false" customHeight="false" outlineLevel="0" collapsed="false">
      <c r="A7" s="36" t="s">
        <v>141</v>
      </c>
      <c r="B7" s="37" t="n">
        <v>1</v>
      </c>
    </row>
    <row r="8" customFormat="false" ht="15" hidden="false" customHeight="false" outlineLevel="0" collapsed="false">
      <c r="A8" s="36" t="s">
        <v>142</v>
      </c>
      <c r="B8" s="37" t="n">
        <v>5</v>
      </c>
    </row>
    <row r="9" customFormat="false" ht="15" hidden="false" customHeight="false" outlineLevel="0" collapsed="false">
      <c r="A9" s="36" t="s">
        <v>143</v>
      </c>
      <c r="B9" s="37" t="n">
        <v>0.01</v>
      </c>
    </row>
    <row r="12" customFormat="false" ht="15" hidden="false" customHeight="false" outlineLevel="0" collapsed="false">
      <c r="A12" s="38" t="s">
        <v>144</v>
      </c>
      <c r="B12" s="38" t="s">
        <v>145</v>
      </c>
      <c r="C12" s="38" t="s">
        <v>146</v>
      </c>
      <c r="D12" s="38" t="s">
        <v>147</v>
      </c>
      <c r="E12" s="38" t="s">
        <v>148</v>
      </c>
      <c r="F12" s="38" t="s">
        <v>149</v>
      </c>
      <c r="G12" s="38" t="s">
        <v>150</v>
      </c>
      <c r="H12" s="38" t="s">
        <v>151</v>
      </c>
      <c r="I12" s="38" t="s">
        <v>152</v>
      </c>
    </row>
    <row r="13" customFormat="false" ht="15" hidden="false" customHeight="false" outlineLevel="0" collapsed="false">
      <c r="A13" s="39" t="s">
        <v>153</v>
      </c>
      <c r="B13" s="39" t="n">
        <v>1</v>
      </c>
      <c r="C13" s="40" t="n">
        <f aca="false">B13*Assumptions!$B$16</f>
        <v>2</v>
      </c>
      <c r="D13" s="39" t="s">
        <v>154</v>
      </c>
      <c r="E13" s="41" t="n">
        <v>0</v>
      </c>
      <c r="F13" s="41" t="n">
        <v>0</v>
      </c>
      <c r="G13" s="41" t="n">
        <v>0</v>
      </c>
      <c r="H13" s="40" t="n">
        <v>0</v>
      </c>
      <c r="I13" s="42" t="n">
        <f aca="false">IF(C13=0,0,H13/C13)</f>
        <v>0</v>
      </c>
    </row>
    <row r="14" customFormat="false" ht="15" hidden="false" customHeight="false" outlineLevel="0" collapsed="false">
      <c r="A14" s="43" t="s">
        <v>155</v>
      </c>
      <c r="B14" s="43" t="n">
        <v>1</v>
      </c>
      <c r="C14" s="44" t="n">
        <f aca="false">B14*Assumptions!$B$16</f>
        <v>2</v>
      </c>
      <c r="D14" s="43" t="s">
        <v>156</v>
      </c>
      <c r="E14" s="45" t="n">
        <v>8000</v>
      </c>
      <c r="F14" s="45" t="n">
        <v>1000</v>
      </c>
      <c r="G14" s="45" t="n">
        <v>0</v>
      </c>
      <c r="H14" s="44" t="n">
        <f aca="false">E14/1000000*$B$7+F14/1000000*$B$8+G14*$B$9</f>
        <v>0.013</v>
      </c>
      <c r="I14" s="46" t="n">
        <f aca="false">IF(C14=0,0,H14/C14)</f>
        <v>0.0065</v>
      </c>
    </row>
    <row r="15" customFormat="false" ht="15" hidden="false" customHeight="false" outlineLevel="0" collapsed="false">
      <c r="A15" s="39" t="s">
        <v>157</v>
      </c>
      <c r="B15" s="39" t="n">
        <v>2</v>
      </c>
      <c r="C15" s="40" t="n">
        <f aca="false">B15*Assumptions!$B$16</f>
        <v>4</v>
      </c>
      <c r="D15" s="39" t="s">
        <v>158</v>
      </c>
      <c r="E15" s="41" t="n">
        <v>40000</v>
      </c>
      <c r="F15" s="41" t="n">
        <v>3000</v>
      </c>
      <c r="G15" s="41" t="n">
        <v>2</v>
      </c>
      <c r="H15" s="40" t="n">
        <f aca="false">E15/1000000*$B$5+F15/1000000*$B$6+G15*$B$9</f>
        <v>0.185</v>
      </c>
      <c r="I15" s="42" t="n">
        <f aca="false">IF(C15=0,0,H15/C15)</f>
        <v>0.04625</v>
      </c>
    </row>
    <row r="16" customFormat="false" ht="15" hidden="false" customHeight="false" outlineLevel="0" collapsed="false">
      <c r="A16" s="43" t="s">
        <v>159</v>
      </c>
      <c r="B16" s="43" t="n">
        <v>3</v>
      </c>
      <c r="C16" s="44" t="n">
        <f aca="false">B16*Assumptions!$B$16</f>
        <v>6</v>
      </c>
      <c r="D16" s="43" t="s">
        <v>158</v>
      </c>
      <c r="E16" s="45" t="n">
        <v>80000</v>
      </c>
      <c r="F16" s="45" t="n">
        <v>5000</v>
      </c>
      <c r="G16" s="45" t="n">
        <v>3</v>
      </c>
      <c r="H16" s="44" t="n">
        <f aca="false">E16/1000000*$B$5+F16/1000000*$B$6+G16*$B$9</f>
        <v>0.345</v>
      </c>
      <c r="I16" s="46" t="n">
        <f aca="false">IF(C16=0,0,H16/C16)</f>
        <v>0.0575</v>
      </c>
    </row>
    <row r="17" customFormat="false" ht="15" hidden="false" customHeight="false" outlineLevel="0" collapsed="false">
      <c r="A17" s="39" t="s">
        <v>160</v>
      </c>
      <c r="B17" s="39" t="n">
        <v>3</v>
      </c>
      <c r="C17" s="40" t="n">
        <f aca="false">B17*Assumptions!$B$16</f>
        <v>6</v>
      </c>
      <c r="D17" s="39" t="s">
        <v>158</v>
      </c>
      <c r="E17" s="41" t="n">
        <v>100000</v>
      </c>
      <c r="F17" s="41" t="n">
        <v>4000</v>
      </c>
      <c r="G17" s="41" t="n">
        <v>5</v>
      </c>
      <c r="H17" s="40" t="n">
        <f aca="false">E17/1000000*$B$5+F17/1000000*$B$6+G17*$B$9</f>
        <v>0.41</v>
      </c>
      <c r="I17" s="42" t="n">
        <f aca="false">IF(C17=0,0,H17/C17)</f>
        <v>0.0683333333333333</v>
      </c>
    </row>
    <row r="18" customFormat="false" ht="15" hidden="false" customHeight="false" outlineLevel="0" collapsed="false">
      <c r="A18" s="43" t="s">
        <v>161</v>
      </c>
      <c r="B18" s="43" t="n">
        <v>5</v>
      </c>
      <c r="C18" s="44" t="n">
        <f aca="false">B18*Assumptions!$B$16</f>
        <v>10</v>
      </c>
      <c r="D18" s="43" t="s">
        <v>158</v>
      </c>
      <c r="E18" s="45" t="n">
        <v>90000</v>
      </c>
      <c r="F18" s="45" t="n">
        <v>4000</v>
      </c>
      <c r="G18" s="45" t="n">
        <v>6</v>
      </c>
      <c r="H18" s="44" t="n">
        <f aca="false">E18/1000000*$B$5+F18/1000000*$B$6+G18*$B$9</f>
        <v>0.39</v>
      </c>
      <c r="I18" s="46" t="n">
        <f aca="false">IF(C18=0,0,H18/C18)</f>
        <v>0.039</v>
      </c>
    </row>
    <row r="19" customFormat="false" ht="15" hidden="false" customHeight="false" outlineLevel="0" collapsed="false">
      <c r="A19" s="39" t="s">
        <v>162</v>
      </c>
      <c r="B19" s="39" t="n">
        <v>5</v>
      </c>
      <c r="C19" s="40" t="n">
        <f aca="false">B19*Assumptions!$B$16</f>
        <v>10</v>
      </c>
      <c r="D19" s="39" t="s">
        <v>158</v>
      </c>
      <c r="E19" s="41" t="n">
        <v>120000</v>
      </c>
      <c r="F19" s="41" t="n">
        <v>5000</v>
      </c>
      <c r="G19" s="41" t="n">
        <v>6</v>
      </c>
      <c r="H19" s="40" t="n">
        <f aca="false">E19/1000000*$B$5+F19/1000000*$B$6+G19*$B$9</f>
        <v>0.495</v>
      </c>
      <c r="I19" s="42" t="n">
        <f aca="false">IF(C19=0,0,H19/C19)</f>
        <v>0.0495</v>
      </c>
    </row>
    <row r="20" customFormat="false" ht="15" hidden="false" customHeight="false" outlineLevel="0" collapsed="false">
      <c r="A20" s="43" t="s">
        <v>163</v>
      </c>
      <c r="B20" s="43" t="n">
        <v>5</v>
      </c>
      <c r="C20" s="44" t="n">
        <f aca="false">B20*Assumptions!$B$16</f>
        <v>10</v>
      </c>
      <c r="D20" s="43" t="s">
        <v>158</v>
      </c>
      <c r="E20" s="45" t="n">
        <v>130000</v>
      </c>
      <c r="F20" s="45" t="n">
        <v>5000</v>
      </c>
      <c r="G20" s="45" t="n">
        <v>7</v>
      </c>
      <c r="H20" s="44" t="n">
        <f aca="false">E20/1000000*$B$5+F20/1000000*$B$6+G20*$B$9</f>
        <v>0.535</v>
      </c>
      <c r="I20" s="46" t="n">
        <f aca="false">IF(C20=0,0,H20/C20)</f>
        <v>0.0535</v>
      </c>
    </row>
    <row r="21" customFormat="false" ht="15" hidden="false" customHeight="false" outlineLevel="0" collapsed="false">
      <c r="A21" s="39" t="s">
        <v>164</v>
      </c>
      <c r="B21" s="39" t="n">
        <v>5</v>
      </c>
      <c r="C21" s="40" t="n">
        <f aca="false">B21*Assumptions!$B$16</f>
        <v>10</v>
      </c>
      <c r="D21" s="39" t="s">
        <v>158</v>
      </c>
      <c r="E21" s="41" t="n">
        <v>170000</v>
      </c>
      <c r="F21" s="41" t="n">
        <v>5000</v>
      </c>
      <c r="G21" s="41" t="n">
        <v>8</v>
      </c>
      <c r="H21" s="40" t="n">
        <f aca="false">E21/1000000*$B$5+F21/1000000*$B$6+G21*$B$9</f>
        <v>0.665</v>
      </c>
      <c r="I21" s="42" t="n">
        <f aca="false">IF(C21=0,0,H21/C21)</f>
        <v>0.0665</v>
      </c>
    </row>
    <row r="22" customFormat="false" ht="15" hidden="false" customHeight="false" outlineLevel="0" collapsed="false">
      <c r="A22" s="43" t="s">
        <v>165</v>
      </c>
      <c r="B22" s="43" t="n">
        <v>8</v>
      </c>
      <c r="C22" s="44" t="n">
        <f aca="false">B22*Assumptions!$B$16</f>
        <v>16</v>
      </c>
      <c r="D22" s="43" t="s">
        <v>158</v>
      </c>
      <c r="E22" s="45" t="n">
        <v>150000</v>
      </c>
      <c r="F22" s="45" t="n">
        <v>6000</v>
      </c>
      <c r="G22" s="45" t="n">
        <v>8</v>
      </c>
      <c r="H22" s="44" t="n">
        <f aca="false">E22/1000000*$B$5+F22/1000000*$B$6+G22*$B$9</f>
        <v>0.62</v>
      </c>
      <c r="I22" s="46" t="n">
        <f aca="false">IF(C22=0,0,H22/C22)</f>
        <v>0.03875</v>
      </c>
    </row>
    <row r="23" customFormat="false" ht="15" hidden="false" customHeight="false" outlineLevel="0" collapsed="false">
      <c r="A23" s="39" t="s">
        <v>166</v>
      </c>
      <c r="B23" s="39" t="n">
        <v>10</v>
      </c>
      <c r="C23" s="40" t="n">
        <f aca="false">B23*Assumptions!$B$16</f>
        <v>20</v>
      </c>
      <c r="D23" s="39" t="s">
        <v>158</v>
      </c>
      <c r="E23" s="41" t="n">
        <v>200000</v>
      </c>
      <c r="F23" s="41" t="n">
        <v>8000</v>
      </c>
      <c r="G23" s="41" t="n">
        <v>10</v>
      </c>
      <c r="H23" s="40" t="n">
        <f aca="false">E23/1000000*$B$5+F23/1000000*$B$6+G23*$B$9</f>
        <v>0.82</v>
      </c>
      <c r="I23" s="42" t="n">
        <f aca="false">IF(C23=0,0,H23/C23)</f>
        <v>0.041</v>
      </c>
    </row>
    <row r="25" customFormat="false" ht="15" hidden="false" customHeight="false" outlineLevel="0" collapsed="false">
      <c r="A25" s="47" t="s">
        <v>167</v>
      </c>
      <c r="I25" s="48" t="n">
        <f aca="false">MAX(I13:I23)</f>
        <v>0.0683333333333333</v>
      </c>
    </row>
    <row r="26" customFormat="false" ht="15" hidden="false" customHeight="false" outlineLevel="0" collapsed="false">
      <c r="A26" s="27" t="s">
        <v>168</v>
      </c>
      <c r="I26" s="49" t="n">
        <v>0.1</v>
      </c>
    </row>
    <row r="27" customFormat="false" ht="15" hidden="false" customHeight="false" outlineLevel="0" collapsed="false">
      <c r="A27" s="27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2026-05-28T17:50:36Z</dcterms:created>
  <dc:creator>openpyxl</dc:creator>
  <dc:description/>
  <dc:language>en-US</dc:language>
  <cp:lastModifiedBy/>
  <dcterms:modified xsi:type="dcterms:W3CDTF">2026-06-16T13:21:59Z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