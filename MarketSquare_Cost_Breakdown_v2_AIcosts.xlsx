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VIEW 18 Aug 2026" sheetId="1" state="visible" r:id="rId3"/>
    <sheet name="Business Case Rev C" sheetId="2" state="visible" r:id="rId4"/>
    <sheet name="Assumptions Rev C" sheetId="3" state="visible" r:id="rId5"/>
    <sheet name="Subscriptions Register" sheetId="4" state="visible" r:id="rId6"/>
    <sheet name="Infrastructure Rev C" sheetId="5" state="visible" r:id="rId7"/>
    <sheet name="AI Lanes Rev C" sheetId="6" state="visible" r:id="rId8"/>
    <sheet name="People &amp; Accountant" sheetId="7" state="visible" r:id="rId9"/>
    <sheet name="Year 1 Cash Flow Rev C" sheetId="8" state="visible" r:id="rId10"/>
    <sheet name="Cash Reserve" sheetId="9" state="visible" r:id="rId11"/>
    <sheet name="AUDIT 16 Jul 2026" sheetId="10" state="visible" r:id="rId12"/>
    <sheet name="3-Year Summary" sheetId="11" state="visible" r:id="rId13"/>
    <sheet name="Year 1 Monthly" sheetId="12" state="visible" r:id="rId14"/>
    <sheet name="AI Revenue Analysis" sheetId="13" state="visible" r:id="rId15"/>
    <sheet name="Assumptions" sheetId="14" state="visible" r:id="rId16"/>
    <sheet name="AI Cost Ceilings" sheetId="15" state="visible" r:id="rId17"/>
    <sheet name="AI Costs Rev B (16 Jul 2026)" sheetId="16" state="visible" r:id="rId18"/>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Cost Review Rev C</author>
  </authors>
  <commentList>
    <comment ref="B6" authorId="0">
      <text>
        <r>
          <rPr>
            <sz val="10"/>
            <rFont val="Arial"/>
            <family val="2"/>
          </rPr>
          <t xml:space="preserve">Rev B used 18.50. At 16.21 the R36 Tuppence is worth $2.22, not $1.95 - the FX drag noted in the 16 Jul audit has reversed into a small FX gain. But every ZAR COST (accountant, people) is now 14% more expensive in USD.</t>
        </r>
      </text>
    </comment>
    <comment ref="B17" authorId="0">
      <text>
        <r>
          <rPr>
            <sz val="10"/>
            <rFont val="Arial"/>
            <family val="2"/>
          </rPr>
          <t xml:space="preserve">THE SINGLE-POINT RISK: we are one rescale away from paying this. Do not resize the production box without pricing the move first.</t>
        </r>
      </text>
    </comment>
    <comment ref="B40" authorId="0">
      <text>
        <r>
          <rPr>
            <sz val="10"/>
            <rFont val="Arial"/>
            <family val="2"/>
          </rPr>
          <t xml:space="preserve">This single number moves the Year-1 business case by more than every technology decision in this workbook combined. It is worth five minutes of David's attention.</t>
        </r>
      </text>
    </comment>
  </commentList>
</comments>
</file>

<file path=xl/comments14.xml><?xml version="1.0" encoding="utf-8"?>
<comments xmlns="http://schemas.openxmlformats.org/spreadsheetml/2006/main" xmlns:xdr="http://schemas.openxmlformats.org/drawingml/2006/spreadsheetDrawing">
  <authors>
    <author>model</author>
  </authors>
  <commentList>
    <comment ref="B28" authorId="0">
      <text>
        <r>
          <rPr>
            <sz val="10"/>
            <rFont val="Arial"/>
            <family val="2"/>
          </rPr>
          <t xml:space="preserve">Guidance-only figure (0T/1T Haiku/owned data). Advanced AI Functions cost $0.20-$0.90 per call (capped) - see 'AI Cost Ceilings' sheet. Headline margins still 92-96%.</t>
        </r>
      </text>
    </comment>
  </commentList>
</comments>
</file>

<file path=xl/sharedStrings.xml><?xml version="1.0" encoding="utf-8"?>
<sst xmlns="http://schemas.openxmlformats.org/spreadsheetml/2006/main" count="1232" uniqueCount="1022">
  <si>
    <t xml:space="preserve">PRE-LAUNCH COST REVIEW — Rev C, 18 August 2026 (soft launch 29 Aug · full launch 1 Sep, RUL-001)</t>
  </si>
  <si>
    <t xml:space="preserve">Rev A (as filed) and Rev B (16 Jul audit) sheets are preserved UNCHANGED below. Rev C ADDS sheets; it does not overwrite history — same convention the 16 Jul audit used. The Rev C sheets are now the live model.</t>
  </si>
  <si>
    <t xml:space="preserve">Area</t>
  </si>
  <si>
    <t xml:space="preserve">Was (Rev B, 16 Jul)</t>
  </si>
  <si>
    <t xml:space="preserve">Now (Rev C, 18 Aug)</t>
  </si>
  <si>
    <t xml:space="preserve">Impact</t>
  </si>
  <si>
    <t xml:space="preserve">Why / source</t>
  </si>
  <si>
    <t xml:space="preserve">ZAR/USD rate</t>
  </si>
  <si>
    <t xml:space="preserve">18.50</t>
  </si>
  <si>
    <t xml:space="preserve">16.21 (live, 18 Aug 2026)</t>
  </si>
  <si>
    <t xml:space="preserve">ZAR costs +14% in USD; ZAR revenue +14%</t>
  </si>
  <si>
    <t xml:space="preserve">Frankfurter/ECB + open.er-api, read live 18 Aug 2026. RUL-022 made FX live and keyless in the app; the model was still on a hardcoded 18.50 from June.</t>
  </si>
  <si>
    <t xml:space="preserve">Hetzner — list price</t>
  </si>
  <si>
    <t xml:space="preserve">CPX32 €15.49/mo</t>
  </si>
  <si>
    <t xml:space="preserve">€15.49 GRANDFATHERED; new-order price €35.49</t>
  </si>
  <si>
    <t xml:space="preserve">+129% if the box is ever rescaled</t>
  </si>
  <si>
    <t xml:space="preserve">Hetzner raised cloud prices twice in 2026: ~+30% on 1 Apr, then CPX/CCX up to +176% on 15 Jun. Existing servers keep legacy terms — but ANY rescale reprices. This is a live single-point risk, not a cost today.</t>
  </si>
  <si>
    <t xml:space="preserve">Hetzner — better box exists</t>
  </si>
  <si>
    <t xml:space="preserve">n/a</t>
  </si>
  <si>
    <t xml:space="preserve">CX43: 8 vCPU / 16 GB / 160 GB at €15.99</t>
  </si>
  <si>
    <t xml:space="preserve">2x the CPU and RAM for +€0.50/mo</t>
  </si>
  <si>
    <t xml:space="preserve">The June repricing hit CPX/CCX hard and left the new CX line cheap. CX43 beats our grandfathered CPX32 on every spec at the same money. See 'Infrastructure Rev C'.</t>
  </si>
  <si>
    <t xml:space="preserve">Hetzner — storage</t>
  </si>
  <si>
    <t xml:space="preserve">Volume €0.052/GB</t>
  </si>
  <si>
    <t xml:space="preserve">€0.0572/GB (+10%)</t>
  </si>
  <si>
    <t xml:space="preserve">+€0.52/mo on the 100 GB volume</t>
  </si>
  <si>
    <t xml:space="preserve">Hetzner published block-storage rates, Aug 2026.</t>
  </si>
  <si>
    <t xml:space="preserve">Hetzner — actual bill</t>
  </si>
  <si>
    <t xml:space="preserve">modelled €15.49 only</t>
  </si>
  <si>
    <t xml:space="preserve">$32.00/mo all-in (server+volume+object storage)</t>
  </si>
  <si>
    <t xml:space="preserve">+$16/mo vs the modelled line</t>
  </si>
  <si>
    <t xml:space="preserve">David's actual last-month bill, 15 Aug 2026 (STATUS.md; AI_TOKEN_ECONOMICS rev3 §5). The Rev B workbook never carried the volume or the backup bucket.</t>
  </si>
  <si>
    <t xml:space="preserve">PostgreSQL</t>
  </si>
  <si>
    <t xml:space="preserve">absent from the model</t>
  </si>
  <si>
    <t xml:space="preserve">Budgeted from Month 7, 5 options priced</t>
  </si>
  <si>
    <t xml:space="preserve">+$22/mo default (2nd Hetzner box)</t>
  </si>
  <si>
    <t xml:space="preserve">David's own ruling stands: DB_DECISION_2026-07-29 — launch runs on SQLite, Postgres is a post-launch trigger-driven project. Rev C budgets it rather than leaving it unfunded; see 'Infrastructure Rev C'.</t>
  </si>
  <si>
    <t xml:space="preserve">Third-party subscriptions</t>
  </si>
  <si>
    <t xml:space="preserve">5 lines (infra only)</t>
  </si>
  <si>
    <t xml:space="preserve">Full 40-line register, every dependency</t>
  </si>
  <si>
    <t xml:space="preserve">Nothing is off-budget any more</t>
  </si>
  <si>
    <t xml:space="preserve">Built from the Ops Dashboard infrastructure panel (bea_main.py _INFRA_CHECKS) + subscription_monitor.py CATALOG + feature_flags.json. LIVE / PLANNED / HELD / CLOSED status per row.</t>
  </si>
  <si>
    <t xml:space="preserve">AI subscriptions</t>
  </si>
  <si>
    <t xml:space="preserve">Claude Pro $20</t>
  </si>
  <si>
    <t xml:space="preserve">Claude $230.00 + Higgsfield $44.85</t>
  </si>
  <si>
    <t xml:space="preserve">+$254.85/mo</t>
  </si>
  <si>
    <t xml:space="preserve">David's actuals, 15 Aug 2026 (incl. 15% ZA import levy). The Claude subscription is the fix-agent's brain, so it is a platform cost, not a personal one.</t>
  </si>
  <si>
    <t xml:space="preserve">AI swap-out provision</t>
  </si>
  <si>
    <t xml:space="preserve">$20 x 6 lanes = $120/500 users</t>
  </si>
  <si>
    <t xml:space="preserve">$40 per model x 7 models = $280 launch provision</t>
  </si>
  <si>
    <t xml:space="preserve">One-off $280 at launch</t>
  </si>
  <si>
    <t xml:space="preserve">David's instruction, 18 Aug 2026. Covers key provisioning and opening credit float on every lane in the swap chain so a failover is never blocked on a payment. Reserve, not spend — unspent provision is runway.</t>
  </si>
  <si>
    <t xml:space="preserve">AI running cost</t>
  </si>
  <si>
    <t xml:space="preserve">services on Sonnet; photos on Gemini 3 Flash</t>
  </si>
  <si>
    <t xml:space="preserve">Base lane = OpenAI (Luna/Terra); premier models demoted to failover</t>
  </si>
  <si>
    <t xml:space="preserve">~72-78% cut in AI API cost</t>
  </si>
  <si>
    <t xml:space="preserve">RUL-002 (14 Aug): OpenAI base, Anthropic auto-failover, Scaleway EU safety net. Luna scores 51.24 AA vs Haiku's 29.58 at 77-79% less. David's read is correct — the better-capable model is now the cheaper one; premier models earn their keep as continuity insurance.</t>
  </si>
  <si>
    <t xml:space="preserve">Accountant</t>
  </si>
  <si>
    <t xml:space="preserve">R2,000/mo from Year 2</t>
  </si>
  <si>
    <t xml:space="preserve">R2,000/mo from MONTH 1</t>
  </si>
  <si>
    <t xml:space="preserve">+$1,481/yr in Year 1</t>
  </si>
  <si>
    <t xml:space="preserve">David's instruction, 18 Aug 2026 — and FINANCE_CANON §4 already recommended exactly this: 'engage at FIRST REVENUE, not Year 2; a Year-1 structuring consult is cheap vs one wrong VAT call.' Year 1 crosses the R2.3m compulsory VAT threshold if the ramp holds.</t>
  </si>
  <si>
    <t xml:space="preserve">Human operations</t>
  </si>
  <si>
    <t xml:space="preserve">3 people x 2 hrs/day at a nominal rate</t>
  </si>
  <si>
    <t xml:space="preserve">THE largest cost line, by a distance</t>
  </si>
  <si>
    <t xml:space="preserve">David's instruction, 18 Aug 2026. At R150/hr, 7 days: $1,690/mo — 5.2x the entire tech stack. Fully parameterised on 'People &amp; Accountant'; see the sensitivity grid before settling the rate.</t>
  </si>
  <si>
    <t xml:space="preserve">Cash reserve</t>
  </si>
  <si>
    <t xml:space="preserve">no reserve modelled</t>
  </si>
  <si>
    <t xml:space="preserve">6 months of fixed cash cost, held separately</t>
  </si>
  <si>
    <t xml:space="preserve">$14,700 recommended opening reserve</t>
  </si>
  <si>
    <t xml:space="preserve">New sheet 'Cash Reserve'. The model's 95% margin is real but it is an ANNUAL margin — the cash risk is the first six months, where fixed costs run ahead of the ramp.</t>
  </si>
  <si>
    <t xml:space="preserve">Two rival workbooks</t>
  </si>
  <si>
    <t xml:space="preserve">GlobalLaunch vs v2_AIcosts disagreed</t>
  </si>
  <si>
    <t xml:space="preserve">THIS workbook is the single live model</t>
  </si>
  <si>
    <t xml:space="preserve">One source of truth</t>
  </si>
  <si>
    <t xml:space="preserve">Cost_Breakdown_GlobalLaunch.xlsx carried the newer infra rows but the older 2.5%-Stripe assumptions; v2_AIcosts carried the 16 Jul audit but no storage rows. Rev C folds both in here. GlobalLaunch is superseded — do not update it.</t>
  </si>
  <si>
    <t xml:space="preserve">HEADLINE</t>
  </si>
  <si>
    <t xml:space="preserve">The tech stack was never the problem. Rev C's restated Year-1 cost is dominated by ONE new line — human operations — which the old model did not carry at all.</t>
  </si>
  <si>
    <t xml:space="preserve">Every technology cost in this business, added together and rounded up, is smaller than three part-time people.</t>
  </si>
  <si>
    <t xml:space="preserve">That is the business case question this review puts to David: not 'can we afford the servers' (trivially yes) but 'what are the three people FOR, and does the ramp fund them'.</t>
  </si>
  <si>
    <t xml:space="preserve">BUSINESS CASE — RESTATED · Rev C 18 Aug 2026 · supersedes the '3-Year Summary' sheet</t>
  </si>
  <si>
    <t xml:space="preserve">The '3-Year Summary' sheet below is preserved as filed and is now HISTORY. This is the live business case. Revenue is unchanged — the Rev C work was entirely on the cost side.</t>
  </si>
  <si>
    <t xml:space="preserve">Year 1</t>
  </si>
  <si>
    <t xml:space="preserve">Year 2</t>
  </si>
  <si>
    <t xml:space="preserve">Year 3</t>
  </si>
  <si>
    <t xml:space="preserve">3-year</t>
  </si>
  <si>
    <t xml:space="preserve">Note</t>
  </si>
  <si>
    <t xml:space="preserve">── SCALE ──────────────────────────────────────────────────────</t>
  </si>
  <si>
    <t xml:space="preserve">Sellers</t>
  </si>
  <si>
    <t xml:space="preserve">As filed. Year 2 is lower than Year 1 — a cumulative-vs-incremental inconsistency in the original model, never reconciled. Flagged, not fixed: fixing it is a revenue-model job, not a costing one.</t>
  </si>
  <si>
    <t xml:space="preserve">── REVENUE (unchanged from the audited model) ─────────────────</t>
  </si>
  <si>
    <t xml:space="preserve">TOTAL REVENUE</t>
  </si>
  <si>
    <t xml:space="preserve">Subscriptions + Tuppence introductions + AI services.</t>
  </si>
  <si>
    <t xml:space="preserve">── COSTS (Rev C — restated) ───────────────────────────────────</t>
  </si>
  <si>
    <t xml:space="preserve">Subscriptions — PAID + COMMITTED</t>
  </si>
  <si>
    <t xml:space="preserve">Held flat deliberately. The stack is fixed-cost: one server, one design subscription, one image tool. It does not scale with sellers, which is the whole architectural bet.</t>
  </si>
  <si>
    <t xml:space="preserve">Flat in Years 1-2; DOUBLED in Year 3 on the assumption that 148 cities and 16,872 sellers cannot be served by the same three people. That is an assumption, and a conservative one.</t>
  </si>
  <si>
    <t xml:space="preserve">Accountant + software</t>
  </si>
  <si>
    <t xml:space="preserve">From month 1 in Year 1 (David, 18 Aug). Year 2+ full year.</t>
  </si>
  <si>
    <t xml:space="preserve">PostgreSQL hosting</t>
  </si>
  <si>
    <t xml:space="preserve">Budgeted from month 7 of Year 1.</t>
  </si>
  <si>
    <t xml:space="preserve">Payment processing (Paystack effective)</t>
  </si>
  <si>
    <t xml:space="preserve">Formula-driven off the assumption — change the rate once and all three years reprice. Kept from the 16 Jul audit, which fixed this exact class of error.</t>
  </si>
  <si>
    <t xml:space="preserve">AI metered API</t>
  </si>
  <si>
    <t xml:space="preserve">Restated onto the OpenAI base lane. Premier models are now insurance, not the default.</t>
  </si>
  <si>
    <t xml:space="preserve">AI swap-out launch provision (one-off)</t>
  </si>
  <si>
    <t xml:space="preserve">0</t>
  </si>
  <si>
    <t xml:space="preserve">$40 x 7 models, at launch only.</t>
  </si>
  <si>
    <t xml:space="preserve">TOTAL COSTS</t>
  </si>
  <si>
    <t xml:space="preserve">── RESULT ─────────────────────────────────────────────────────</t>
  </si>
  <si>
    <t xml:space="preserve">NET INCOME</t>
  </si>
  <si>
    <t xml:space="preserve">Operating margin</t>
  </si>
  <si>
    <t xml:space="preserve">Rev B reported 95.3% / 95.3% / 95.8%. The fall is entirely the people line — and it is the honest number.</t>
  </si>
  <si>
    <t xml:space="preserve">Margin as reported in Rev B (16 Jul)</t>
  </si>
  <si>
    <t xml:space="preserve">0.9527</t>
  </si>
  <si>
    <t xml:space="preserve">0.9525</t>
  </si>
  <si>
    <t xml:space="preserve">0.9583</t>
  </si>
  <si>
    <t xml:space="preserve">For comparison.</t>
  </si>
  <si>
    <t xml:space="preserve">Cost per seller per year</t>
  </si>
  <si>
    <t xml:space="preserve">Rev B reported $1 / $5 / $7. Revenue per seller is $30 / $158 / $237.</t>
  </si>
  <si>
    <t xml:space="preserve">── BREAK-EVEN — what it now takes to cover the fixed base ─────</t>
  </si>
  <si>
    <t xml:space="preserve">Break-even measure</t>
  </si>
  <si>
    <t xml:space="preserve">Count</t>
  </si>
  <si>
    <t xml:space="preserve">Basis</t>
  </si>
  <si>
    <t xml:space="preserve">Starter subscriptions ($5/mo)</t>
  </si>
  <si>
    <t xml:space="preserve">Pure $5 Starters.</t>
  </si>
  <si>
    <t xml:space="preserve">Pro subscriptions ($20/mo)</t>
  </si>
  <si>
    <t xml:space="preserve">Pure $20 Pros.</t>
  </si>
  <si>
    <t xml:space="preserve">Sellers at the modelled mix (25% Starter, 8% Pro)</t>
  </si>
  <si>
    <t xml:space="preserve">The realistic figure. 65% Free, 2% Agency free.</t>
  </si>
  <si>
    <t xml:space="preserve">Founding cities of 60 sellers</t>
  </si>
  <si>
    <t xml:space="preserve">How many city cohorts the fixed base needs.</t>
  </si>
  <si>
    <t xml:space="preserve">Rev B / token-economics equivalent (tech stack only)</t>
  </si>
  <si>
    <t xml:space="preserve">AI_TOKEN_ECONOMICS rev3 put break-even at ~131 sellers on a $327.85 tech floor, ~2.2 cities. Rev C's figure is the same calculation with the people line included.</t>
  </si>
  <si>
    <t xml:space="preserve">── CASH ───────────────────────────────────────────────────────</t>
  </si>
  <si>
    <t xml:space="preserve">Cash measure</t>
  </si>
  <si>
    <t xml:space="preserve">$</t>
  </si>
  <si>
    <t xml:space="preserve">Deepest cumulative cash deficit in Year 1</t>
  </si>
  <si>
    <t xml:space="preserve">The real capital requirement. Read live from the cash-flow sheet.</t>
  </si>
  <si>
    <t xml:space="preserve">First month cumulative cash turns positive</t>
  </si>
  <si>
    <t xml:space="preserve">Month number. If this reads 'not in Year 1', the ramp does not self-fund and the reserve must carry the whole year.</t>
  </si>
  <si>
    <t xml:space="preserve">Recommended opening cash reserve</t>
  </si>
  <si>
    <t xml:space="preserve">From 'Cash Reserve' — the largest of three sizings, plus stress.</t>
  </si>
  <si>
    <t xml:space="preserve">Year-1 net cash</t>
  </si>
  <si>
    <t xml:space="preserve">Cross-check against NET INCOME above; small differences are the one-off provision timing.</t>
  </si>
  <si>
    <t xml:space="preserve">── SCENARIOS ──────────────────────────────────────────────────</t>
  </si>
  <si>
    <t xml:space="preserve">Scenario</t>
  </si>
  <si>
    <t xml:space="preserve">Y1 revenue</t>
  </si>
  <si>
    <t xml:space="preserve">Y1 costs</t>
  </si>
  <si>
    <t xml:space="preserve">Y1 net</t>
  </si>
  <si>
    <t xml:space="preserve">Margin</t>
  </si>
  <si>
    <t xml:space="preserve">What it tests</t>
  </si>
  <si>
    <t xml:space="preserve">PLAN — as modelled</t>
  </si>
  <si>
    <t xml:space="preserve">The base case.</t>
  </si>
  <si>
    <t xml:space="preserve">Ramp lands at 50%</t>
  </si>
  <si>
    <t xml:space="preserve">Revenue halves; only payment fees fall with it. Everything else is fixed. This is the scenario that matters, because the ramp is a projection and marketplace ramps miss.</t>
  </si>
  <si>
    <t xml:space="preserve">Ramp lands at 25%</t>
  </si>
  <si>
    <t xml:space="preserve">The pessimistic case: one city works, the waves stall.</t>
  </si>
  <si>
    <t xml:space="preserve">People deferred to month 7</t>
  </si>
  <si>
    <t xml:space="preserve">Hire when the waves start rather than at launch. Tests how much of the cash trough the people line actually causes.</t>
  </si>
  <si>
    <t xml:space="preserve">Tech-only (no people, no accountant)</t>
  </si>
  <si>
    <t xml:space="preserve">The Rev B world, for comparison. Shows exactly what the two new lines cost.</t>
  </si>
  <si>
    <t xml:space="preserve">Hetzner rescale forced (+129%)</t>
  </si>
  <si>
    <t xml:space="preserve">The grandfathering is lost. Barely visible — which is the useful answer: this risk is real but small, and should not drive a pre-launch server migration.</t>
  </si>
  <si>
    <t xml:space="preserve">ASSUMPTIONS — Rev C · 18 Aug 2026 · EDIT THE BLUE CELLS ONLY</t>
  </si>
  <si>
    <t xml:space="preserve">LEGEND:</t>
  </si>
  <si>
    <t xml:space="preserve">blue = you edit</t>
  </si>
  <si>
    <t xml:space="preserve">black = formula</t>
  </si>
  <si>
    <t xml:space="preserve">Yellow fill = the number most worth arguing about. Every other sheet reads from here — change a value once and the whole model reprices.</t>
  </si>
  <si>
    <t xml:space="preserve">Assumption</t>
  </si>
  <si>
    <t xml:space="preserve">Value</t>
  </si>
  <si>
    <t xml:space="preserve">Unit</t>
  </si>
  <si>
    <t xml:space="preserve">Source / note</t>
  </si>
  <si>
    <t xml:space="preserve">── FOREIGN EXCHANGE ──────────────────────────────────────────</t>
  </si>
  <si>
    <t xml:space="preserve">ZAR per USD</t>
  </si>
  <si>
    <t xml:space="preserve">R/$</t>
  </si>
  <si>
    <t xml:space="preserve">LIVE 18 Aug 2026 (Frankfurter/ECB + open.er-api). WAS 18.50 in Rev B — a 14% stale assumption. RUL-022 made FX live in the app; this model had not followed. Re-read this monthly.</t>
  </si>
  <si>
    <t xml:space="preserve">USD per EUR</t>
  </si>
  <si>
    <t xml:space="preserve">$/€</t>
  </si>
  <si>
    <t xml:space="preserve">Live 18 Aug 2026 (open.er-api, USD/EUR 0.863128 inverted). Hetzner bills in EUR.</t>
  </si>
  <si>
    <t xml:space="preserve">── SCALE &amp; REVENUE (carried unchanged from the 16 Jul audited model) ──</t>
  </si>
  <si>
    <t xml:space="preserve">Sellers — Year 1</t>
  </si>
  <si>
    <t xml:space="preserve">count</t>
  </si>
  <si>
    <t xml:space="preserve">'3-Year Summary' as filed. PROJECTION, not a decision.</t>
  </si>
  <si>
    <t xml:space="preserve">Sellers — Year 2</t>
  </si>
  <si>
    <t xml:space="preserve">As filed. NOTE: lower than Year 1 — a cumulative-vs-incremental inconsistency never reconciled. Treat Y2/Y3 seller counts with caution.</t>
  </si>
  <si>
    <t xml:space="preserve">Sellers — Year 3</t>
  </si>
  <si>
    <t xml:space="preserve">As filed.</t>
  </si>
  <si>
    <t xml:space="preserve">Revenue — Year 1</t>
  </si>
  <si>
    <t xml:space="preserve">As filed (subs 158,968 + intros 42,228 + AI 33,958).</t>
  </si>
  <si>
    <t xml:space="preserve">Revenue — Year 2</t>
  </si>
  <si>
    <t xml:space="preserve">Revenue — Year 3</t>
  </si>
  <si>
    <t xml:space="preserve">── HETZNER (2026 repricing — see 'Infrastructure Rev C') ─────</t>
  </si>
  <si>
    <t xml:space="preserve">Hetzner CPX32 — OUR legacy price</t>
  </si>
  <si>
    <t xml:space="preserve">€/mo</t>
  </si>
  <si>
    <t xml:space="preserve">Grandfathered from the 25 May 2026 order. Hetzner protects existing servers — but ANY rescale reprices to the line below.</t>
  </si>
  <si>
    <t xml:space="preserve">Hetzner CPX32 — current NEW-ORDER price</t>
  </si>
  <si>
    <t xml:space="preserve">+129% vs our legacy price. Two 2026 increases: ~+30% on 1 Apr, then CPX/CCX up to +176% on 15 Jun. Source: Hetzner price-adjustment notice + Aug 2026 price tables.</t>
  </si>
  <si>
    <t xml:space="preserve">Hetzner CX43 (8 vCPU / 16 GB / 160 GB)</t>
  </si>
  <si>
    <t xml:space="preserve">The June repricing hit CPX/CCX and left the new CX line cheap. CX43 doubles our CPU and RAM for +€0.50/mo vs the legacy CPX32. This is the migration target.</t>
  </si>
  <si>
    <t xml:space="preserve">Block storage volume — 100 GB</t>
  </si>
  <si>
    <t xml:space="preserve">€0.0572/GB/mo (was €0.052 — +10%). Holds the 39 GB Overpass DB.</t>
  </si>
  <si>
    <t xml:space="preserve">Object storage — daily DB backups</t>
  </si>
  <si>
    <t xml:space="preserve">14-day retention. canon.yml.</t>
  </si>
  <si>
    <t xml:space="preserve">Storage Box BX11 — 1 TB offsite (3-2-1 tier 2)</t>
  </si>
  <si>
    <t xml:space="preserve">ops/backup/SETUP_RUNBOOK.md designs it; provisioning status UNKNOWN on disk and it appears in NO cost model. Budgeted here so it stops being invisible.</t>
  </si>
  <si>
    <t xml:space="preserve">Hetzner — ACTUAL bill, last month</t>
  </si>
  <si>
    <t xml:space="preserve">$/mo</t>
  </si>
  <si>
    <t xml:space="preserve">David's actual, 15 Aug 2026. Used as the Rev C infrastructure base in preference to the component sum, because it is measured.</t>
  </si>
  <si>
    <t xml:space="preserve">── POSTGRESQL (post-launch per David's DB ruling, 29 Jul 2026) ──</t>
  </si>
  <si>
    <t xml:space="preserve">Postgres option in force (A / B / C / D / E)</t>
  </si>
  <si>
    <t xml:space="preserve">B</t>
  </si>
  <si>
    <t xml:space="preserve">letter</t>
  </si>
  <si>
    <t xml:space="preserve">A=self-host on existing box · B=2nd Hetzner CX43 (DEFAULT) · C=Hetzner CCX23 dedicated · D=Neon Launch managed · E=Supabase Pro. Priced on 'Infrastructure Rev C'.</t>
  </si>
  <si>
    <t xml:space="preserve">Postgres starts in month</t>
  </si>
  <si>
    <t xml:space="preserve">month 1-12</t>
  </si>
  <si>
    <t xml:space="preserve">David's DB ruling: launch runs on SQLite, no engine migration inside the launch window; Postgres is post-launch and TRIGGER-driven (db-locked errors / write growth / a second app server). Month 7 = budgeted placeholder, NOT a decision to migrate. Set 99 to switch it off.</t>
  </si>
  <si>
    <t xml:space="preserve">Postgres — monthly cost once running</t>
  </si>
  <si>
    <t xml:space="preserve">Option B: Hetzner CX43 €15.99 + 20% automatic backups €3.20 = €19.19. Change this if the option changes.</t>
  </si>
  <si>
    <t xml:space="preserve">── AI — SUBSCRIPTIONS, LANES AND THE SWAP-OUT PROVISION ──────</t>
  </si>
  <si>
    <t xml:space="preserve">Claude subscription ($200 + 15%)</t>
  </si>
  <si>
    <t xml:space="preserve">David's actual, 15 Aug 2026. Includes the 15% ZA import levy. Booked as a PLATFORM cost because it is also the fix-agent's brain (RUL-013).</t>
  </si>
  <si>
    <t xml:space="preserve">Higgsfield Ultra ($39 + 15%)</t>
  </si>
  <si>
    <t xml:space="preserve">David's actual, 15 Aug 2026. Listing exemplars and feature video.</t>
  </si>
  <si>
    <t xml:space="preserve">Launch provision PER AI MODEL</t>
  </si>
  <si>
    <t xml:space="preserve">$ one-off</t>
  </si>
  <si>
    <t xml:space="preserve">David's instruction, 18 Aug 2026. Opens a funded key on every lane in the swap chain so a failover is never blocked on a payment. Supersedes the $20/lane figure in AI_TOKEN_ECONOMICS rev3.</t>
  </si>
  <si>
    <t xml:space="preserve">Number of swap-out models provisioned</t>
  </si>
  <si>
    <t xml:space="preserve">luna · terra · sol (OpenAI base) · haiku-4.5 · sonnet-4.6 (Anthropic failover) · mistral-medium-3.5 (Scaleway EU safety net) · grok-4.6 (4th, text only). Listed on 'AI Lanes Rev C'.</t>
  </si>
  <si>
    <t xml:space="preserve">AI swap-out launch provision — TOTAL</t>
  </si>
  <si>
    <t xml:space="preserve">One-off at launch. A RESERVE, not a spend — unspent provision is runway.</t>
  </si>
  <si>
    <t xml:space="preserve">Treat the provision as recurring monthly? (1=yes, 0=no)</t>
  </si>
  <si>
    <t xml:space="preserve">flag</t>
  </si>
  <si>
    <t xml:space="preserve">0 = one-off launch cost (David's wording). Set to 1 to stress-test it as a monthly float top-up.</t>
  </si>
  <si>
    <t xml:space="preserve">Base-lane cost factor vs Sonnet 4.6</t>
  </si>
  <si>
    <t xml:space="preserve">x</t>
  </si>
  <si>
    <t xml:space="preserve">gpt-5.6-terra $2/$12 vs claude-sonnet-4-6 $3/$15 = 0.67 in / 0.80 out; 0.72 blended at our observed in:out shape. Lower = cheaper.</t>
  </si>
  <si>
    <t xml:space="preserve">Base-lane cost factor vs the Rev B photo-gate model</t>
  </si>
  <si>
    <t xml:space="preserve">gpt-5.6-luna $0.20/$1.20 vs Gemini 3 Flash $0.50/$3.00 = exactly 0.40 on both. Against Haiku 4.5 ($1/$5) the factor is 0.20-0.24 — the 77-79% saving in RUL-002.</t>
  </si>
  <si>
    <t xml:space="preserve">── HUMAN OPERATIONS (David's instruction, 18 Aug 2026) ───────</t>
  </si>
  <si>
    <t xml:space="preserve">People — headcount</t>
  </si>
  <si>
    <t xml:space="preserve">people</t>
  </si>
  <si>
    <t xml:space="preserve">David: 'at least three people'.</t>
  </si>
  <si>
    <t xml:space="preserve">Hours per person per day</t>
  </si>
  <si>
    <t xml:space="preserve">hrs</t>
  </si>
  <si>
    <t xml:space="preserve">David: '2 hours a day'.</t>
  </si>
  <si>
    <t xml:space="preserve">Days worked per month</t>
  </si>
  <si>
    <t xml:space="preserve">days</t>
  </si>
  <si>
    <t xml:space="preserve">30.44 = every day (365/12). Use 21.7 for weekdays only. A marketplace does not close at weekends — but three people covering 7 days is a roster, not a job.</t>
  </si>
  <si>
    <t xml:space="preserve">Nominal rate per hour</t>
  </si>
  <si>
    <t xml:space="preserve">R/hr</t>
  </si>
  <si>
    <t xml:space="preserve">DEFAULT SET BY CLAUDE, not by David — a nominal ZA rate for skilled part-time support work. Change it: the sensitivity grid on 'People &amp; Accountant' shows R100 / R150 / R250 side by side.</t>
  </si>
  <si>
    <t xml:space="preserve">Human ops start in month</t>
  </si>
  <si>
    <t xml:space="preserve">Set 99 to switch the line off entirely and see the tech-only case.</t>
  </si>
  <si>
    <t xml:space="preserve">Hours per month — total</t>
  </si>
  <si>
    <t xml:space="preserve">hrs/mo</t>
  </si>
  <si>
    <t xml:space="preserve">Human ops — cost per month</t>
  </si>
  <si>
    <t xml:space="preserve">R/mo</t>
  </si>
  <si>
    <t xml:space="preserve">── ACCOUNTANT (David's instruction: from Month 1) ─────────────</t>
  </si>
  <si>
    <t xml:space="preserve">Accountant fee</t>
  </si>
  <si>
    <t xml:space="preserve">David, 18 Aug 2026.</t>
  </si>
  <si>
    <t xml:space="preserve">Accounting software</t>
  </si>
  <si>
    <t xml:space="preserve">Carried from the Rev B assumption. Zero it if it is bundled in the fee.</t>
  </si>
  <si>
    <t xml:space="preserve">Accountant starts in month</t>
  </si>
  <si>
    <t xml:space="preserve">David's instruction — and FINANCE_CANON §4 independently recommended engaging at FIRST REVENUE rather than Year 2: 'a Year-1 structuring consult is cheap vs one wrong VAT call.' Year 1 on plan crosses the R2.3m compulsory VAT threshold.</t>
  </si>
  <si>
    <t xml:space="preserve">Accountant + software — per month</t>
  </si>
  <si>
    <t xml:space="preserve">── PAYMENTS ───────────────────────────────────────────────────</t>
  </si>
  <si>
    <t xml:space="preserve">Paystack percentage fee</t>
  </si>
  <si>
    <t xml:space="preserve">%</t>
  </si>
  <si>
    <t xml:space="preserve">2.9% (VAT excl.). Account 1777715 Live/Approved; international acceptance already enabled (RUL-019).</t>
  </si>
  <si>
    <t xml:space="preserve">Paystack fixed fee</t>
  </si>
  <si>
    <t xml:space="preserve">R/tx</t>
  </si>
  <si>
    <t xml:space="preserve">Waived under R10.</t>
  </si>
  <si>
    <t xml:space="preserve">Blended average transaction size</t>
  </si>
  <si>
    <t xml:space="preserve">R</t>
  </si>
  <si>
    <t xml:space="preserve">Mix of R36 single-T, R72-180 packs, R90/R360 subs. TUNE FROM LIVE PAYSTACK DATA once settlements start.</t>
  </si>
  <si>
    <t xml:space="preserve">Paystack effective blended rate</t>
  </si>
  <si>
    <t xml:space="preserve">── CASH RESERVE POLICY ────────────────────────────────────────</t>
  </si>
  <si>
    <t xml:space="preserve">Reserve — months of fixed cost to hold</t>
  </si>
  <si>
    <t xml:space="preserve">months</t>
  </si>
  <si>
    <t xml:space="preserve">Recommended 6. Covers the whole pre-revenue-scale window: the model's 95% margin is ANNUAL, and the cash risk is entirely in months 1-6 where fixed cost runs ahead of the ramp.</t>
  </si>
  <si>
    <t xml:space="preserve">Reserve stress factor</t>
  </si>
  <si>
    <t xml:space="preserve">25% headroom for the things a plan does not know about. Set 1.00 for the bare figure.</t>
  </si>
  <si>
    <t xml:space="preserve">THIRD-PARTY SUBSCRIPTION REGISTER — every external dependency, Rev C 18 Aug 2026</t>
  </si>
  <si>
    <t xml:space="preserve">Built from the Ops Dashboard infrastructure panel (bea_main.py _INFRA_CHECKS), subscription_monitor.py CATALOG (41 external deps) and feature_flags.json. STATUS drives the totals below: PAID and COMMITTED are in the launch cost base; PLANNED is budgeted but uncontracted; HELD is wired-but-off (B7 rule: stays false until David enables it WITH a hard monthly ceiling); CLOSED is a tombstone kept so it cannot return by accident.</t>
  </si>
  <si>
    <t xml:space="preserve">Service</t>
  </si>
  <si>
    <t xml:space="preserve">Category</t>
  </si>
  <si>
    <t xml:space="preserve">What it is for</t>
  </si>
  <si>
    <t xml:space="preserve">Status</t>
  </si>
  <si>
    <t xml:space="preserve">$/month</t>
  </si>
  <si>
    <t xml:space="preserve">$/year</t>
  </si>
  <si>
    <t xml:space="preserve">Cost basis · cap · risk</t>
  </si>
  <si>
    <t xml:space="preserve">Claude (Anthropic) sub</t>
  </si>
  <si>
    <t xml:space="preserve">AI</t>
  </si>
  <si>
    <t xml:space="preserve">Design/guidance tool + the fix agent's brain</t>
  </si>
  <si>
    <t xml:space="preserve">PAID</t>
  </si>
  <si>
    <t xml:space="preserve">$200 + 15% ZA import levy. David's actual. Platform cost per RUL-013, not a personal one. Largest single line in the tech stack.</t>
  </si>
  <si>
    <t xml:space="preserve">Higgsfield Ultra</t>
  </si>
  <si>
    <t xml:space="preserve">Listing exemplar imagery + feature video</t>
  </si>
  <si>
    <t xml:space="preserve">$39 + 15%. Nano Banana Pro 2 = 2 credits/image; Kling 3.0 = 12 credits/clip. Credit balance ~1,988 at Jul 2026.</t>
  </si>
  <si>
    <t xml:space="preserve">Hetzner Cloud</t>
  </si>
  <si>
    <t xml:space="preserve">Infrastructure</t>
  </si>
  <si>
    <t xml:space="preserve">CPX32: FastAPI + SQLite + Redis + nginx + volume + backup bucket</t>
  </si>
  <si>
    <t xml:space="preserve">ACTUAL last-month bill. Grandfathered at €15.49 for the box; new-order price is €35.49. See 'Infrastructure Rev C'.</t>
  </si>
  <si>
    <t xml:space="preserve">Domain trustsquare.co</t>
  </si>
  <si>
    <t xml:space="preserve">Domain registration</t>
  </si>
  <si>
    <t xml:space="preserve">~$12/yr amortised.</t>
  </si>
  <si>
    <t xml:space="preserve">Resend</t>
  </si>
  <si>
    <t xml:space="preserve">Email</t>
  </si>
  <si>
    <t xml:space="preserve">Transactional, magic-link and support email</t>
  </si>
  <si>
    <t xml:space="preserve">COMMITTED</t>
  </si>
  <si>
    <t xml:space="preserve">Free tier today (1 domain, &lt;3k/mo); paid 50k tier B7-approved, activation 27 Aug 2026 — inside the launch window. Ceiling $20/mo.</t>
  </si>
  <si>
    <t xml:space="preserve">OpenAI API</t>
  </si>
  <si>
    <t xml:space="preserve">BASE usage lane (RUL-002) — the runtime inside the app</t>
  </si>
  <si>
    <t xml:space="preserve">Metered, not a subscription — modelled in 'AI Lanes Rev C'. gpt-5.6-luna $0.20/$1.20, terra $2/$12. FLIP NOT DONE: P1-P6 preconditions outstanding.</t>
  </si>
  <si>
    <t xml:space="preserve">Anthropic API</t>
  </si>
  <si>
    <t xml:space="preserve">AUTO-FAILOVER lane</t>
  </si>
  <si>
    <t xml:space="preserve">Metered. Haiku 4.5 $1/$5, Sonnet 4.6 $3/$15. Dearer than base BY DESIGN — continuity insurance. Continuity tolerance 6.0x base.</t>
  </si>
  <si>
    <t xml:space="preserve">Scaleway</t>
  </si>
  <si>
    <t xml:space="preserve">EU SAFETY NET — bans and jurisdiction only</t>
  </si>
  <si>
    <t xml:space="preserve">Metered, cost-exempt by role, alert-on-use. mistral-medium-3.5 €1.50/€7.50. GAP: free-tier monthly cap and expiry are recorded as null — an unknown cliff.</t>
  </si>
  <si>
    <t xml:space="preserve">Cloudflare (CDN/DNS/WAF)</t>
  </si>
  <si>
    <t xml:space="preserve">TLS, CDN, DDoS, cache purge, WAF origin lockdown</t>
  </si>
  <si>
    <t xml:space="preserve">FREE</t>
  </si>
  <si>
    <t xml:space="preserve">Free tier carries us today. Origin CA cert valid to 2041 — no renewal.</t>
  </si>
  <si>
    <t xml:space="preserve">Cloudflare R2</t>
  </si>
  <si>
    <t xml:space="preserve">Primary photo/video object storage, $0 egress</t>
  </si>
  <si>
    <t xml:space="preserve">~$4/mo at Year-1 scale; modelled at $1/city/mo in the original Assumptions. Mirrored to Hetzner local disk.</t>
  </si>
  <si>
    <t xml:space="preserve">Paystack</t>
  </si>
  <si>
    <t xml:space="preserve">Payments</t>
  </si>
  <si>
    <t xml:space="preserve">ZAR + worldwide card acceptance</t>
  </si>
  <si>
    <t xml:space="preserve">No monthly fee — 2.9% + R1 per transaction, 3.81% effective blended. Modelled as a % of revenue, not a subscription.</t>
  </si>
  <si>
    <t xml:space="preserve">GeoNames</t>
  </si>
  <si>
    <t xml:space="preserve">Data</t>
  </si>
  <si>
    <t xml:space="preserve">Country/region/city/suburb seeding</t>
  </si>
  <si>
    <t xml:space="preserve">Free signup, one-time seed. Not a runtime dependency.</t>
  </si>
  <si>
    <t xml:space="preserve">JustTCG</t>
  </si>
  <si>
    <t xml:space="preserve">Trading-card pricing (1T collectible feed)</t>
  </si>
  <si>
    <t xml:space="preserve">Free tier. Probe is presence-only — no cheap live probe exists.</t>
  </si>
  <si>
    <t xml:space="preserve">Numista</t>
  </si>
  <si>
    <t xml:space="preserve">Coin and banknote catalogue</t>
  </si>
  <si>
    <t xml:space="preserve">Free tier.</t>
  </si>
  <si>
    <t xml:space="preserve">Scryfall</t>
  </si>
  <si>
    <t xml:space="preserve">MTG card catalogue and pricing</t>
  </si>
  <si>
    <t xml:space="preserve">Keyless.</t>
  </si>
  <si>
    <t xml:space="preserve">eBay Browse API</t>
  </si>
  <si>
    <t xml:space="preserve">Sold comps for collectibles, coins, stamps; LEGO fallback</t>
  </si>
  <si>
    <t xml:space="preserve">Free OAuth. WATCH: flag is true but the keyset is STILL PENDING — a live-flagged dead lane.</t>
  </si>
  <si>
    <t xml:space="preserve">OSM Overpass</t>
  </si>
  <si>
    <t xml:space="preserve">POI distance queries</t>
  </si>
  <si>
    <t xml:space="preserve">Keyless (kumi.systems mirror). 39 GB DB on the Hetzner volume — the volume cost IS this dependency's cost.</t>
  </si>
  <si>
    <t xml:space="preserve">OSM Nominatim</t>
  </si>
  <si>
    <t xml:space="preserve">Street-address geocoding</t>
  </si>
  <si>
    <t xml:space="preserve">OpenStreetMap / Leaflet tiles</t>
  </si>
  <si>
    <t xml:space="preserve">All maps — deliberately instead of Mapbox/Google</t>
  </si>
  <si>
    <t xml:space="preserve">Zero-cost, self-hostable to Protomaps on Hetzner if it ever needs to be.</t>
  </si>
  <si>
    <t xml:space="preserve">Wikidata</t>
  </si>
  <si>
    <t xml:space="preserve">World Heritage and site reference data</t>
  </si>
  <si>
    <t xml:space="preserve">Keyless. Carries the day-one browse experience in a new city.</t>
  </si>
  <si>
    <t xml:space="preserve">Frankfurter (ECB)</t>
  </si>
  <si>
    <t xml:space="preserve">FX rates</t>
  </si>
  <si>
    <t xml:space="preserve">Keyless. RUL-022: FX is live, free and keyless — no paid FX source, ever.</t>
  </si>
  <si>
    <t xml:space="preserve">ExchangeRate-API (open)</t>
  </si>
  <si>
    <t xml:space="preserve">FX fallback</t>
  </si>
  <si>
    <t xml:space="preserve">UK Land Registry / ONS-VOA</t>
  </si>
  <si>
    <t xml:space="preserve">UK sold prices and rents</t>
  </si>
  <si>
    <t xml:space="preserve">OGL v3.0 — commercial use permitted.</t>
  </si>
  <si>
    <t xml:space="preserve">HUD FMR / US Assessor</t>
  </si>
  <si>
    <t xml:space="preserve">US fair-market rents and assessments</t>
  </si>
  <si>
    <t xml:space="preserve">Public domain.</t>
  </si>
  <si>
    <t xml:space="preserve">Gmail SMTP</t>
  </si>
  <si>
    <t xml:space="preserve">Outbound auto-emailer and support replies</t>
  </si>
  <si>
    <t xml:space="preserve">App password.</t>
  </si>
  <si>
    <t xml:space="preserve">n8n</t>
  </si>
  <si>
    <t xml:space="preserve">Automation</t>
  </si>
  <si>
    <t xml:space="preserve">Intro/accept/decline/AI-alert webhooks</t>
  </si>
  <si>
    <t xml:space="preserve">SELF-HOSTED in Docker on the Hetzner box, port 5678 — no SaaS subscription. Its cost is the box's RAM.</t>
  </si>
  <si>
    <t xml:space="preserve">GitHub</t>
  </si>
  <si>
    <t xml:space="preserve">Off-box code mirror</t>
  </si>
  <si>
    <t xml:space="preserve">Let's Encrypt</t>
  </si>
  <si>
    <t xml:space="preserve">SSL fallback</t>
  </si>
  <si>
    <t xml:space="preserve">Primary is the Cloudflare Origin CA cert.</t>
  </si>
  <si>
    <t xml:space="preserve">Travelpayouts / Aviasales</t>
  </si>
  <si>
    <t xml:space="preserve">Revenue</t>
  </si>
  <si>
    <t xml:space="preserve">Cached flight fares; tours affiliate shelf</t>
  </si>
  <si>
    <t xml:space="preserve">COST-FREE AND REVENUE-POSITIVE: commission-based, nothing through our till (RUL-008). Flights 1.1-1.3%; tours ~8%. Tours review DECLINED 5 Aug — resubmit is David's call.</t>
  </si>
  <si>
    <t xml:space="preserve">Hetzner Storage Box BX11</t>
  </si>
  <si>
    <t xml:space="preserve">3-2-1 backup tier 2 — 1 TB offsite</t>
  </si>
  <si>
    <t xml:space="preserve">PLANNED</t>
  </si>
  <si>
    <t xml:space="preserve">€3.80/mo. Designed in ops/backup/SETUP_RUNBOOK.md; provisioning status UNKNOWN and it is in NO existing cost model. Budgeted here.</t>
  </si>
  <si>
    <t xml:space="preserve">External uptime monitor</t>
  </si>
  <si>
    <t xml:space="preserve">Independent up/down watch</t>
  </si>
  <si>
    <t xml:space="preserve">LAUNCH GATE G4, still OPEN. No vendor, no price on disk — $10 is a placeholder. The current watch is desktop-bound and runs once at 06:30; a closed laptop is a blind day (it missed 6 Aug).</t>
  </si>
  <si>
    <t xml:space="preserve">Post-launch DB engine</t>
  </si>
  <si>
    <t xml:space="preserve">Month 7 placeholder, option B. NOT a decision to migrate — David's 29 Jul ruling is trigger-driven. See 'Infrastructure Rev C'.</t>
  </si>
  <si>
    <t xml:space="preserve">Cloudflare paid plan</t>
  </si>
  <si>
    <t xml:space="preserve">Upgrade from free tier</t>
  </si>
  <si>
    <t xml:space="preserve">Placeholder — confirm plan and quote. No trigger identified yet; free tier is carrying the load.</t>
  </si>
  <si>
    <t xml:space="preserve">Flights feed (AeroDataBox/Duffel)</t>
  </si>
  <si>
    <t xml:space="preserve">Schedules, aircraft types, fare search</t>
  </si>
  <si>
    <t xml:space="preserve">DEFERRED by ruling (1 Aug) — no subscription until a screen needs timetables. 5T+ class: its per-run cost reprices into the 5T charge.</t>
  </si>
  <si>
    <t xml:space="preserve">Places feed (NON-Google)</t>
  </si>
  <si>
    <t xml:space="preserve">Live ratings, hours, photos</t>
  </si>
  <si>
    <t xml:space="preserve">Foursquare / Geoapify / OSM-based. Un-quoted guess. MUST have a hard monthly cap at signup.</t>
  </si>
  <si>
    <t xml:space="preserve">Mapbox</t>
  </si>
  <si>
    <t xml:space="preserve">Prettier map tiles</t>
  </si>
  <si>
    <t xml:space="preserve">RECOMMENDATION ON FILE: LEAVE OFF. The only planned row that adds a paid metered dependency for no trust gain — OSM already works.</t>
  </si>
  <si>
    <t xml:space="preserve">Merchant of Record (Paddle)</t>
  </si>
  <si>
    <t xml:space="preserve">International tax handling</t>
  </si>
  <si>
    <t xml:space="preserve">~5% + $0.50/txn, no monthly fee — a transaction cost, not a subscription. GATE: confirm Paddle accepts the Tuppence model before building. Alternatives verified for ZA: Polar.sh, Dodo, FastSpring.</t>
  </si>
  <si>
    <t xml:space="preserve">PriceCharting / PCGS / GoCollect / WatchCharts</t>
  </si>
  <si>
    <t xml:space="preserve">Collectible and graded-coin price guides</t>
  </si>
  <si>
    <t xml:space="preserve">HELD</t>
  </si>
  <si>
    <t xml:space="preserve">B7 rule: false in feature_flags until David enables WITH a ceiling. Unpriced.</t>
  </si>
  <si>
    <t xml:space="preserve">Property data (PayProp, Lightstone, PropertyData, RentCast, ATTOM, Domain AU, CoreLogic, SQM, Cap HPI)</t>
  </si>
  <si>
    <t xml:space="preserve">Regional property valuation</t>
  </si>
  <si>
    <t xml:space="preserve">All false. Held until live profitability is certain — David's 3 Jul call, logged. Unpriced.</t>
  </si>
  <si>
    <t xml:space="preserve">Vehicle data (TransUnion Auto ZA, RedBook)</t>
  </si>
  <si>
    <t xml:space="preserve">Vehicle valuation and verification</t>
  </si>
  <si>
    <t xml:space="preserve">All false. Same ruling. Unpriced.</t>
  </si>
  <si>
    <t xml:space="preserve">Duffel</t>
  </si>
  <si>
    <t xml:space="preserve">Flight search — warm standby</t>
  </si>
  <si>
    <t xml:space="preserve">Standby by supplier-fallback doctrine. $0.005/search, hard monthly cap required.</t>
  </si>
  <si>
    <t xml:space="preserve">BrickLink</t>
  </si>
  <si>
    <t xml:space="preserve">LEGO catalogue</t>
  </si>
  <si>
    <t xml:space="preserve">CLOSED</t>
  </si>
  <si>
    <t xml:space="preserve">WON'T-DO: ceased all South African operations 12 Dec 2025 — registration impossible from ZA. Resolver stays in code, dark.</t>
  </si>
  <si>
    <t xml:space="preserve">Google Places / Maps Platform</t>
  </si>
  <si>
    <t xml:space="preserve">(would have been) POI and maps</t>
  </si>
  <si>
    <t xml:space="preserve">OUT by David's 1 Aug ruling, re-confirmed 15 Aug. Origin of the B7 rule: a silent ~$360 charge with no cost warning. Row kept as a tombstone so it cannot return by accident.</t>
  </si>
  <si>
    <t xml:space="preserve">Stripe direct + international entity</t>
  </si>
  <si>
    <t xml:space="preserve">(would have been) global card acceptance</t>
  </si>
  <si>
    <t xml:space="preserve">SHELVED 16 Jul until income funds it. Removed $100/mo and $1,100 of Year-1 spend. Unshelve triggers: ZA MRR ~$500/mo sustained, or real blocked international demand.</t>
  </si>
  <si>
    <t xml:space="preserve">Amadeus</t>
  </si>
  <si>
    <t xml:space="preserve">(would have been) flight data</t>
  </si>
  <si>
    <t xml:space="preserve">Self-service portal shut 17 Jul 2026. Slot repointed to Travelpayouts.</t>
  </si>
  <si>
    <t xml:space="preserve">── TOTALS BY STATUS ───────────────────────────────────────────</t>
  </si>
  <si>
    <t xml:space="preserve">In the cost base now — PAID</t>
  </si>
  <si>
    <t xml:space="preserve">Committed before launch — COMMITTED</t>
  </si>
  <si>
    <t xml:space="preserve">Free tier — FREE (the quiet backbone: 20 dependencies at zero)</t>
  </si>
  <si>
    <t xml:space="preserve">Budgeted, not contracted — PLANNED</t>
  </si>
  <si>
    <t xml:space="preserve">Wired but OFF — HELD (B7 rule)</t>
  </si>
  <si>
    <t xml:space="preserve">Tombstones — CLOSED (must never return)</t>
  </si>
  <si>
    <t xml:space="preserve">SUBSCRIPTION COST BASE AT LAUNCH (PAID + COMMITTED)</t>
  </si>
  <si>
    <t xml:space="preserve">This is the number to compare against revenue. AI metered spend is NOT here — it is on 'AI Lanes Rev C'.</t>
  </si>
  <si>
    <t xml:space="preserve">FULL STACK IF EVERY PLANNED ROW ACTIVATES</t>
  </si>
  <si>
    <t xml:space="preserve">Includes Mapbox at $50, which the file itself recommends leaving off — the honest ceiling, not the plan.</t>
  </si>
  <si>
    <t xml:space="preserve">WHAT THIS REGISTER CHANGES: before Rev C, five infrastructure lines were modelled and thirty-five dependencies were not. Most of the thirty-five are free — which is the point. The platform's data layer (maps, geocoding, FX, heritage, property comps, card catalogues) runs on open data and free tiers by deliberate design, and that design is worth defending: it is why the tech stack costs under $350/month at launch.</t>
  </si>
  <si>
    <t xml:space="preserve">THE THREE ROWS THAT DESERVE A DECISION: (1) Mapbox $50 — the file's own recommendation is to leave it off; OSM already works and paid tiles buy no trust. (2) External uptime monitor — a LAUNCH GATE with no vendor and no price, currently the cheapest unclosed risk on the board. (3) eBay Browse — flagged live with a keyset still pending, so a lane the app believes is working is not.</t>
  </si>
  <si>
    <t xml:space="preserve">INFRASTRUCTURE — Hetzner 2026 repricing and the PostgreSQL question · Rev C 18 Aug 2026</t>
  </si>
  <si>
    <t xml:space="preserve">A. THE HETZNER REPRICING — what happened, and what it costs us</t>
  </si>
  <si>
    <t xml:space="preserve">Hetzner raised cloud prices TWICE in 2026: roughly +30% on 1 April, then a much larger adjustment on 15 June in which the CPX and CCX lines rose by up to +176%. Existing servers keep their legacy terms — but the price adjustment applies to new orders AND to rescales. Our production box was ordered on 25 May 2026, so it sits between the two increases and is grandfathered at €15.49.</t>
  </si>
  <si>
    <t xml:space="preserve">The consequence is not a bill today. It is that our production server is now a thing we cannot resize without repricing it by +129%, and that fact appears nowhere in the project's documentation or its cost model. That is the finding.</t>
  </si>
  <si>
    <t xml:space="preserve">Hetzner line</t>
  </si>
  <si>
    <t xml:space="preserve">€/month</t>
  </si>
  <si>
    <t xml:space="preserve">Production box — CPX32 (4 vCPU / 8 GB / 160 GB), OUR legacy price</t>
  </si>
  <si>
    <t xml:space="preserve">GRANDFATHERED</t>
  </si>
  <si>
    <t xml:space="preserve">Ordered 25 May 2026, before the 15 June adjustment. Protected while untouched.</t>
  </si>
  <si>
    <t xml:space="preserve">Same box at the CURRENT new-order price</t>
  </si>
  <si>
    <t xml:space="preserve">RISK</t>
  </si>
  <si>
    <t xml:space="preserve">What we would pay on any rescale, rebuild or migration. +129%. Treat a resize as a €240/yr decision, not a click.</t>
  </si>
  <si>
    <t xml:space="preserve">Block storage volume — 100 GB (Overpass DB)</t>
  </si>
  <si>
    <t xml:space="preserve">ACTIVE</t>
  </si>
  <si>
    <t xml:space="preserve">€0.0572/GB/mo, up ~10%. Expand only above 80% disk.</t>
  </si>
  <si>
    <t xml:space="preserve">Object storage — daily DB backups, 14-day retention</t>
  </si>
  <si>
    <t xml:space="preserve">canon.yml.</t>
  </si>
  <si>
    <t xml:space="preserve">UNVERIFIED</t>
  </si>
  <si>
    <t xml:space="preserve">Designed in ops/backup/SETUP_RUNBOOK.md and referenced by the laptop backup runbook — but in NO cost model and its provisioning state is unknown on disk. Budgeted here. ACTION: confirm whether this exists.</t>
  </si>
  <si>
    <t xml:space="preserve">Component sum (legacy box + volume + object storage + storage box)</t>
  </si>
  <si>
    <t xml:space="preserve">Bottom-up.</t>
  </si>
  <si>
    <t xml:space="preserve">ACTUAL last-month Hetzner bill (David, 15 Aug 2026) — USED IN THE MODEL</t>
  </si>
  <si>
    <t xml:space="preserve">Measured beats modelled. The gap to the component sum is the Storage Box question above.</t>
  </si>
  <si>
    <t xml:space="preserve">Variance: actual less component sum</t>
  </si>
  <si>
    <t xml:space="preserve">A positive variance means we are paying for something the component list does not name. A negative means the Storage Box is not provisioned.</t>
  </si>
  <si>
    <t xml:space="preserve">B. THE OPPORTUNITY THE REPRICING CREATED — CX43</t>
  </si>
  <si>
    <t xml:space="preserve">Option</t>
  </si>
  <si>
    <t xml:space="preserve">vCPU</t>
  </si>
  <si>
    <t xml:space="preserve">RAM (GB)</t>
  </si>
  <si>
    <t xml:space="preserve">Disk (GB)</t>
  </si>
  <si>
    <t xml:space="preserve">Verdict</t>
  </si>
  <si>
    <t xml:space="preserve">Our CPX32 today (legacy price)</t>
  </si>
  <si>
    <t xml:space="preserve">Baseline. Cheap, but frozen — cannot be resized without repricing.</t>
  </si>
  <si>
    <t xml:space="preserve">CPX32 at today's new-order price</t>
  </si>
  <si>
    <t xml:space="preserve">What a rebuild costs. Same machine, +129%.</t>
  </si>
  <si>
    <t xml:space="preserve">CX43 — the migration target</t>
  </si>
  <si>
    <t xml:space="preserve">TWICE the CPU and TWICE the RAM for +€0.50/mo over our legacy price. The June increase hit CPX/CCX and left the CX line cheap.</t>
  </si>
  <si>
    <t xml:space="preserve">CX43 premium over our legacy price, per month</t>
  </si>
  <si>
    <t xml:space="preserve">The 16 GB box that ROADMAP_4_AI_INDEPENDENCE says we would need before hosting any local model is now within fifty cents a month of what we already pay.</t>
  </si>
  <si>
    <t xml:space="preserve">CAUTION, and it is the reason this is a finding rather than a recommendation: migrating to CX43 means BUILDING A NEW SERVER, eleven days before a launch. David's own doctrine (Addendum 4) is 'don't change a tested tool mid-design'. The right shape is to record the option now, and take it the first time the box needs to change anyway — a disk expansion, a Postgres split, or the day a local model is wanted. Not this month.</t>
  </si>
  <si>
    <t xml:space="preserve">C. POSTGRESQL — what it costs, and when</t>
  </si>
  <si>
    <t xml:space="preserve">DAVID'S RULING STANDS AND HAS NOT CHANGED. DB_DECISION_2026-07-29: 'Launch runs on SQLite. No engine migration inside the launch window.' Postgres is a post-launch project, executed when a TRIGGER fires — database-locked errors under real concurrency, sustained write growth, or the need for a second app server. The reason given was: 'Migration pre-launch = new bug surface at maximum stakes for a problem we do not have.'  Rev C therefore does NOT move the launch to Postgres. It BUDGETS the move from month 7 so that when a trigger fires the money is already provided for, and prices the five ways of doing it.</t>
  </si>
  <si>
    <t xml:space="preserve">€ or $ basis</t>
  </si>
  <si>
    <t xml:space="preserve">Ops burden</t>
  </si>
  <si>
    <t xml:space="preserve">Assessment</t>
  </si>
  <si>
    <t xml:space="preserve">A — Self-host on the EXISTING box</t>
  </si>
  <si>
    <t xml:space="preserve">included</t>
  </si>
  <si>
    <t xml:space="preserve">none (until it isn't)</t>
  </si>
  <si>
    <t xml:space="preserve">Free, and wrong past a point. Postgres on the same 8 GB box that runs FastAPI, Redis, nginx, n8n and a 39 GB Overpass DB competes for the RAM that made us want Postgres. Fine as a first step, not as the answer.</t>
  </si>
  <si>
    <t xml:space="preserve">B — Second Hetzner box, CX43 + backups  ← DEFAULT</t>
  </si>
  <si>
    <t xml:space="preserve">€15.99 + 20%</t>
  </si>
  <si>
    <t xml:space="preserve">low</t>
  </si>
  <si>
    <t xml:space="preserve">8 vCPU / 16 GB dedicated to the database, at new-order pricing, with Hetzner's 20% automatic-backup add-on. Satisfies the ruling's own third trigger ('the need for a second app server') in the same move. Same provider, same network, same invoice.</t>
  </si>
  <si>
    <t xml:space="preserve">C — Hetzner CCX23 dedicated vCPU</t>
  </si>
  <si>
    <t xml:space="preserve">€85.99</t>
  </si>
  <si>
    <t xml:space="preserve">Dedicated cores, no noisy neighbours. 4.5x option B for a workload we have not yet measured. Right answer later, wrong answer now.</t>
  </si>
  <si>
    <t xml:space="preserve">D — Neon Launch (managed, serverless)</t>
  </si>
  <si>
    <t xml:space="preserve">$0.106/CU-hr + $0.35/GB</t>
  </si>
  <si>
    <t xml:space="preserve">very low</t>
  </si>
  <si>
    <t xml:space="preserve">1 CU (1 vCPU / 4 GB) running 24/7 = 730 hrs x $0.106 = $77.38, plus storage. Scale-to-zero saves nothing for an always-on marketplace. Managed backups and branching are real benefits; the price is not.</t>
  </si>
  <si>
    <t xml:space="preserve">E — Supabase Pro</t>
  </si>
  <si>
    <t xml:space="preserve">$25 flat + compute</t>
  </si>
  <si>
    <t xml:space="preserve">Cheapest managed option, but it is a backend PLATFORM (auth, storage, realtime, edge functions) and we already have all of those. We would be buying a bundle to use one part of it — and adding a US-hosted data dependency to a stack whose jurisdiction posture is deliberate.</t>
  </si>
  <si>
    <t xml:space="preserve">IN FORCE IN THE MODEL — option</t>
  </si>
  <si>
    <t xml:space="preserve">Change the option letter and the cost on 'Assumptions Rev C'. Set the start month to 99 to remove it entirely.</t>
  </si>
  <si>
    <t xml:space="preserve">THE PART THAT IS NOT A MONEY QUESTION: the migration is cheap only if the descent rule is actually walking. It is not. The SQLite-specific surface in bea_main.py measured 53 datetime('now') expressions at the 29 July ruling and measures 53 today — the apparent improvement in the other counters was a measurement fix, not work, and one expression has actually been ADDED since. The ratchet is holding the line but the descent is not happening. Whatever Postgres costs in euros, the real price is the code conversion, and three weeks of pre-launch work have paid none of it down.</t>
  </si>
  <si>
    <t xml:space="preserve">AI — LANES, SWAP-OUT PROVISION AND THE RESTATED RUNNING COST · Rev C 18 Aug 2026</t>
  </si>
  <si>
    <t xml:space="preserve">DAVID'S THESIS, TESTED: 'AI costs will be less due to our AI changes where we will be using better capable models costing less, and placing the premier models only as backups or third order swap outs in emergencies.'  The register supports it. On the tiers that carry the volume, the base lane now scores HIGHER and costs 77-79% LESS than the model it replaces. The thesis is correct — with one qualification that matters for budgeting, in section D.</t>
  </si>
  <si>
    <t xml:space="preserve">A. THE SWAP-OUT CHAIN AND THE $40-PER-MODEL LAUNCH PROVISION</t>
  </si>
  <si>
    <t xml:space="preserve">Model</t>
  </si>
  <si>
    <t xml:space="preserve">Lane / role</t>
  </si>
  <si>
    <t xml:space="preserve">$/Mtok in</t>
  </si>
  <si>
    <t xml:space="preserve">$/Mtok out</t>
  </si>
  <si>
    <t xml:space="preserve">x base (in)</t>
  </si>
  <si>
    <t xml:space="preserve">Provision $</t>
  </si>
  <si>
    <t xml:space="preserve">Why it is in the chain</t>
  </si>
  <si>
    <t xml:space="preserve">gpt-5.6-luna</t>
  </si>
  <si>
    <t xml:space="preserve">OpenAI — BASE (haiku/vision/triage)</t>
  </si>
  <si>
    <t xml:space="preserve">Anthropic base for months; 80% price cut 30 Jul 2026. Scores 51.24 AA vs Haiku's 29.58. Golden set 8/8 on production prompts.</t>
  </si>
  <si>
    <t xml:space="preserve">gpt-5.6-terra</t>
  </si>
  <si>
    <t xml:space="preserve">OpenAI — BASE (sonnet tier, paid 5T deep-dives)</t>
  </si>
  <si>
    <t xml:space="preserve">Carries the buyer-funded work. Watch reasoning-token burn — observed twice on this project (17 Jul, 31 Jul).</t>
  </si>
  <si>
    <t xml:space="preserve">gpt-5.6-sol</t>
  </si>
  <si>
    <t xml:space="preserve">OpenAI — DESIGN tier (from 1 Sep, RUL-013)</t>
  </si>
  <si>
    <t xml:space="preserve">Takes over design work when Fable's pre-launch arrangement ends on 1 Sep. Expensive per token, low volume.</t>
  </si>
  <si>
    <t xml:space="preserve">claude-haiku-4-5</t>
  </si>
  <si>
    <t xml:space="preserve">Anthropic — AUTO-FAILOVER</t>
  </si>
  <si>
    <t xml:space="preserve">First lane on a dropout. Months live, prompts tuned, production-gated. Dearer than base BY DESIGN: continuity is worth a cost spike.</t>
  </si>
  <si>
    <t xml:space="preserve">claude-sonnet-4-6</t>
  </si>
  <si>
    <t xml:space="preserve">Anthropic — AUTO-FAILOVER (reason tier)</t>
  </si>
  <si>
    <t xml:space="preserve">1.35x base on its tier. Also the guidance layer that authored this codebase — a different job from serving users.</t>
  </si>
  <si>
    <t xml:space="preserve">mistral-medium-3.5-128b</t>
  </si>
  <si>
    <t xml:space="preserve">Scaleway EU — SAFETY NET</t>
  </si>
  <si>
    <t xml:space="preserve">Bans and EU jurisdiction only. COST-EXEMPT by role: gating a last resort on price means choosing to be down. Alert on use, time-box. €1.50/€7.50.</t>
  </si>
  <si>
    <t xml:space="preserve">grok-4.6</t>
  </si>
  <si>
    <t xml:space="preserve">xAI — FOURTH, text tiers only</t>
  </si>
  <si>
    <t xml:space="preserve">Placed fourth deliberately: promoting a third US lane above the EU one would leave three US lanes before any non-US one, and a ban hits all three at once. HARD 200K context cap mandatory — past it xAI rebills the ENTIRE request.</t>
  </si>
  <si>
    <t xml:space="preserve">MODELS PROVISIONED</t>
  </si>
  <si>
    <t xml:space="preserve">One-off at launch. Cross-check against 'Assumptions Rev C' models x $/model.</t>
  </si>
  <si>
    <t xml:space="preserve">Assumptions cross-check (models x $/model)</t>
  </si>
  <si>
    <t xml:space="preserve">WHAT THE $280 ACTUALLY BUYS: a funded, tested key on every lane in the chain BEFORE launch. The failure it prevents is specific and has already nearly happened here — OPENAI_API_KEY was never provisioned on the server, so the 'swap-out switch' that the architecture describes could not have been thrown. A failover lane with no credit on it is not a lane. It is a reserve, not a spend: unspent provision is runway.</t>
  </si>
  <si>
    <t xml:space="preserve">B. RUNNING COST RESTATED — premier models demoted to insurance</t>
  </si>
  <si>
    <t xml:space="preserve">AI API cost line</t>
  </si>
  <si>
    <t xml:space="preserve">3-yr total</t>
  </si>
  <si>
    <t xml:space="preserve">Rev A as filed (services only — photo gate NOT included)</t>
  </si>
  <si>
    <t xml:space="preserve">The line that never contained the photo anonymity gate — the silent gap David caught on 16 Jul.</t>
  </si>
  <si>
    <t xml:space="preserve">Rev B (16 Jul) — services on Sonnet + photo gate on Gemini 3 Flash</t>
  </si>
  <si>
    <t xml:space="preserve">The line in the model until today.</t>
  </si>
  <si>
    <t xml:space="preserve">REV C — everything on the OpenAI base lane</t>
  </si>
  <si>
    <t xml:space="preserve">Applies the base-lane factor from 'Assumptions Rev C'. Luna is exactly 0.40x Gemini 3 Flash on both input and output, so the photo gate and the cheap-class services scale cleanly.</t>
  </si>
  <si>
    <t xml:space="preserve">SAVING — Rev C vs Rev B</t>
  </si>
  <si>
    <t xml:space="preserve">Real, but note the scale before celebrating it — see section D.</t>
  </si>
  <si>
    <t xml:space="preserve">Saving as % of the Rev B line</t>
  </si>
  <si>
    <t xml:space="preserve">C. WHAT A FAILOVER COSTS — the price of the insurance</t>
  </si>
  <si>
    <t xml:space="preserve">Serving lane</t>
  </si>
  <si>
    <t xml:space="preserve">Cost multiple</t>
  </si>
  <si>
    <t xml:space="preserve">Y1 AI cost at that lane</t>
  </si>
  <si>
    <t xml:space="preserve">Rule</t>
  </si>
  <si>
    <t xml:space="preserve">Normal running</t>
  </si>
  <si>
    <t xml:space="preserve">OpenAI base</t>
  </si>
  <si>
    <t xml:space="preserve">The plan. Alert AL-1 fires if we are off-base for more than 60 minutes.</t>
  </si>
  <si>
    <t xml:space="preserve">Anthropic failover — haiku/vision/triage tiers</t>
  </si>
  <si>
    <t xml:space="preserve">Anthropic</t>
  </si>
  <si>
    <t xml:space="preserve">Within the 6.0x continuity tolerance. Accepted: every failover is now a cost increase BY DEFINITION, because the cheapest lane is the base.</t>
  </si>
  <si>
    <t xml:space="preserve">Anthropic failover — sonnet tier</t>
  </si>
  <si>
    <t xml:space="preserve">Cheap insurance on the tier that matters most for quality.</t>
  </si>
  <si>
    <t xml:space="preserve">Scaleway EU safety net</t>
  </si>
  <si>
    <t xml:space="preserve">COST-EXEMPT by ruling. Reached only when the alternative is being down or banned. Alert AL-2 immediately and time-box.</t>
  </si>
  <si>
    <t xml:space="preserve">Read that table as an insurance premium, not a threat. A full year served entirely off the Anthropic failover lane costs a few hundred dollars more than the plan — less than one month of the human operations line. Continuity is, in this business, extremely cheap. That is the strongest argument for keeping the premier models exactly where David has put them.</t>
  </si>
  <si>
    <t xml:space="preserve">D. THE QUALIFICATION — where the AI money actually is</t>
  </si>
  <si>
    <t xml:space="preserve">AI cost</t>
  </si>
  <si>
    <t xml:space="preserve">Year 1 $</t>
  </si>
  <si>
    <t xml:space="preserve">Share of AI spend</t>
  </si>
  <si>
    <t xml:space="preserve">Metered API — everything the app does for users, all year</t>
  </si>
  <si>
    <t xml:space="preserve">Subscriptions — Claude + Higgsfield, 12 months</t>
  </si>
  <si>
    <t xml:space="preserve">Swap-out launch provision (one-off)</t>
  </si>
  <si>
    <t xml:space="preserve">TOTAL YEAR-1 AI COST</t>
  </si>
  <si>
    <t xml:space="preserve">THE POINT: optimising the metered lane is correct and David's reasoning is sound — but the metered lane is a rounding error next to the subscriptions. Cutting the API bill by 60% saves a few hundred dollars a year. The Claude and Higgsfield subscriptions cost $3,298 a year between them, and the swap-out provision costs $280 once. The AI cost question that is worth an hour of David's time is not which model serves a photo — it is whether the $230/month design subscription is still the right shape after 1 September, when RUL-013 ends Fable's pre-launch arrangement and design work moves to the gpt-5.6-sol lane. That is a real decision with a real number on it, and it is due in two weeks.</t>
  </si>
  <si>
    <t xml:space="preserve">STILL TRUE, STILL NOT DONE: the flip to the OpenAI base lane has SIX outstanding preconditions (P1-P6 in AI_LANE_GUIDANCE.md). P1 is David's — provision OPENAI_API_KEY on the server. P6 must be done BEFORE the shadow period, because _log_ai_spend currently records the INTENDED lane, not the serving one — meaning a sustained failover would quadruple haiku-tier cost and be invisible in the spend log. Until P6 lands, none of the savings in section B are measurable in production.</t>
  </si>
  <si>
    <t xml:space="preserve">HUMAN OPERATIONS AND THE ACCOUNTANT · Rev C 18 Aug 2026</t>
  </si>
  <si>
    <t xml:space="preserve">This sheet contains the largest cost in the business, and it is the one the model has never carried. Everything on it is driven from the blue cells on 'Assumptions Rev C'. The hourly rate is a placeholder Claude chose, not a number David gave — the sensitivity grid below exists so he can settle it in one glance.</t>
  </si>
  <si>
    <t xml:space="preserve">A. HUMAN MAINTENANCE AND FOLLOW-UP — 3 people, 2 hours a day</t>
  </si>
  <si>
    <t xml:space="preserve">Driver</t>
  </si>
  <si>
    <t xml:space="preserve">People</t>
  </si>
  <si>
    <t xml:space="preserve">David: 'at least three'. Three is the minimum that gives 7-day cover without one person carrying every weekend.</t>
  </si>
  <si>
    <t xml:space="preserve">Days per month</t>
  </si>
  <si>
    <t xml:space="preserve">30.44 = every day. Change to 21.7 on 'Assumptions Rev C' for weekdays only.</t>
  </si>
  <si>
    <t xml:space="preserve">Total hours per month</t>
  </si>
  <si>
    <t xml:space="preserve">3 x 2 x days.</t>
  </si>
  <si>
    <t xml:space="preserve">Nominal rate</t>
  </si>
  <si>
    <t xml:space="preserve">THE number to settle. See the grid below.</t>
  </si>
  <si>
    <t xml:space="preserve">COST PER MONTH</t>
  </si>
  <si>
    <t xml:space="preserve">COST PER YEAR</t>
  </si>
  <si>
    <t xml:space="preserve">Cost per seller per year at Year-1 scale</t>
  </si>
  <si>
    <t xml:space="preserve">For comparison: annual revenue per seller in the model is $30.</t>
  </si>
  <si>
    <t xml:space="preserve">Starter subscriptions ($5/mo) needed to fund this line alone</t>
  </si>
  <si>
    <t xml:space="preserve">Compare with the whole tech stack, which needs about 70.</t>
  </si>
  <si>
    <t xml:space="preserve">B. SENSITIVITY — the rate against the roster</t>
  </si>
  <si>
    <t xml:space="preserve">$ per month · rows = rate (R/hr) · columns = days worked per month</t>
  </si>
  <si>
    <t xml:space="preserve">21.7  (weekdays)</t>
  </si>
  <si>
    <t xml:space="preserve">26.0  (6-day roster)</t>
  </si>
  <si>
    <t xml:space="preserve">30.44  (every day)</t>
  </si>
  <si>
    <t xml:space="preserve">Rate R/hr \ Days per month</t>
  </si>
  <si>
    <t xml:space="preserve">Highlighted cell = the current assumption.</t>
  </si>
  <si>
    <t xml:space="preserve">C. WHAT THIS LINE HAS TO EARN</t>
  </si>
  <si>
    <t xml:space="preserve">Three people at two hours a day is 182 hours a month — roughly one full-time person, split three ways for cover. At R150/hr that is about $1,690 a month, which is 5.2 times the entire technology stack and roughly 86% of the restated fixed cost base.</t>
  </si>
  <si>
    <t xml:space="preserve">That is not an argument against it. Marketplaces fail on the human side — unanswered sellers, stale listings, introductions that go nowhere — and the whole product thesis here is TRUST, which is a human output. Three people doing seller follow-up is very plausibly the highest-return line in this budget.</t>
  </si>
  <si>
    <t xml:space="preserve">It is an argument for being explicit about what they do, because the number is now big enough to deserve a job description. The model can carry it; the question is whether the ramp does. On the modelled Year-1 curve the line is comfortably covered from about month 7. Months 1 to 6 are where it hurts — see 'Year 1 Cash Flow Rev C'.</t>
  </si>
  <si>
    <t xml:space="preserve">One structural note worth putting on the table: this cost is denominated in rand and the revenue is denominated in dollars. That is a favourable exposure right now — the rand has strengthened from 18.50 to 16.21 against the dollar since the model was last touched, which makes the people MORE expensive in dollars but the R36 Tuppence worth MORE too. The two do not cancel: revenue is mostly dollar-priced subscriptions, cost is mostly rand. A weakening rand would be good for this business, and that is worth knowing before anyone hedges anything.</t>
  </si>
  <si>
    <t xml:space="preserve">D. ACCOUNTANT — from month 1</t>
  </si>
  <si>
    <t xml:space="preserve">Line</t>
  </si>
  <si>
    <t xml:space="preserve">R/month</t>
  </si>
  <si>
    <t xml:space="preserve">David's instruction, 18 Aug 2026.</t>
  </si>
  <si>
    <t xml:space="preserve">Carried from Rev B. Zero it on 'Assumptions Rev C' if the fee is inclusive.</t>
  </si>
  <si>
    <t xml:space="preserve">TOTAL — from month 1</t>
  </si>
  <si>
    <t xml:space="preserve">Rev B treatment, for comparison: $0 in Year 1, R2,000/mo from Year 2</t>
  </si>
  <si>
    <t xml:space="preserve">The change costs about $1,850 in Year 1 and is worth it — see below.</t>
  </si>
  <si>
    <t xml:space="preserve">MOVING THE ACCOUNTANT TO MONTH 1 IS THE CHEAPEST RISK REDUCTION IN THIS WHOLE REVIEW. FINANCE_CANON §4 had already recommended it in July, unprompted: 'engage at FIRST REVENUE, not Year 2 — a Year-1 structuring consult is cheap vs one wrong VAT call.'</t>
  </si>
  <si>
    <t xml:space="preserve">The specific exposure: South Africa's compulsory VAT registration threshold is R2.3m of taxable supplies in any twelve months, and zero-rated exports COUNT toward it. On the modelled Year-1 ramp, revenue of about $235,000 is roughly R3.8m — the platform crosses the threshold DURING Year 1, not after it. Registering late carries penalties and interest; getting the Tuppence treatment wrong (it is deferred revenue: a liability on sale, income on settle) would misstate the books from the first month.</t>
  </si>
  <si>
    <t xml:space="preserve">There are six questions already written down and waiting for whoever is engaged — VAT timing, whether revenue through a merchant of record is a zero-rated export, the Tuppence deferred-revenue treatment, Small Business Corporation eligibility, director remuneration, and provisional tax estimates on a ramping year. That list is the brief. It is in FINANCE_CANON §4 and it is ready to hand over.</t>
  </si>
  <si>
    <t xml:space="preserve">YEAR 1 MONTHLY CASH FLOW — Rev C restated cost base · 18 Aug 2026</t>
  </si>
  <si>
    <t xml:space="preserve">Revenue and seller counts are read live from the 'Year 1 Monthly' sheet — unchanged, still the audited 16 Jul ramp. Every COST line is Rev C. Ramp: months 1-3 Pretoria only · months 4-6 Wave 1 (4 cities) · month 7+ eight cities a month.</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</si>
  <si>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</si>
  <si>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</si>
  <si>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</si>
  <si>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</si>
  <si>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</si>
  <si>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</si>
  <si>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</si>
  <si>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</si>
  <si>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</si>
  <si>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</si>
  <si>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</si>
  <si>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</si>
  <si>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YEAR 1</t>
  </si>
  <si>
    <t xml:space="preserve">── REVENUE (unchanged — the audited ramp) ─────────────────────</t>
  </si>
  <si>
    <t xml:space="preserve">Total revenue</t>
  </si>
  <si>
    <t xml:space="preserve">Sellers (cumulative)</t>
  </si>
  <si>
    <t xml:space="preserve">For the cost-per-seller check at the foot of this sheet.</t>
  </si>
  <si>
    <t xml:space="preserve">── FIXED COSTS (Rev C) ────────────────────────────────────────</t>
  </si>
  <si>
    <t xml:space="preserve">Claude, Higgsfield, Hetzner, domain, R2, Resend. From 'Subscriptions Register'.</t>
  </si>
  <si>
    <t xml:space="preserve">Human operations — 3 people x 2 hrs</t>
  </si>
  <si>
    <t xml:space="preserve">The largest line in the business. Starts month 1 unless changed.</t>
  </si>
  <si>
    <t xml:space="preserve">R2,500/mo from month 1 (David, 18 Aug 2026).</t>
  </si>
  <si>
    <t xml:space="preserve">Budgeted from month 7. NOT a decision to migrate — trigger-driven per the 29 Jul ruling.</t>
  </si>
  <si>
    <t xml:space="preserve">── VARIABLE AND ONE-OFF COSTS ─────────────────────────────────</t>
  </si>
  <si>
    <t xml:space="preserve">2.9% + R1 per transaction = 3.81% effective at an R110 average. Tune from live settlements.</t>
  </si>
  <si>
    <t xml:space="preserve">Year-1 total from 'AI Lanes Rev C', spread in proportion to revenue.</t>
  </si>
  <si>
    <t xml:space="preserve">$40 x 7 models, month 1. Set the recurring flag on 'Assumptions Rev C' to stress-test it monthly.</t>
  </si>
  <si>
    <t xml:space="preserve">NET CASH FOR THE MONTH</t>
  </si>
  <si>
    <t xml:space="preserve">Revenue less every cost above. This is the number that matters in months 1-6.</t>
  </si>
  <si>
    <t xml:space="preserve">CUMULATIVE CASH POSITION</t>
  </si>
  <si>
    <t xml:space="preserve">Running total from a zero start. The trough of this row is the money the business must have in the bank on day one.</t>
  </si>
  <si>
    <t xml:space="preserve">Operating margin for the month</t>
  </si>
  <si>
    <t xml:space="preserve">Cost per seller for the month</t>
  </si>
  <si>
    <t xml:space="preserve">── WHAT THE MONTHLY VIEW SHOWS THAT THE ANNUAL VIEW HIDES ──</t>
  </si>
  <si>
    <t xml:space="preserve">The 3-year model reports a Year-1 operating margin in the mid-nineties, and after the Rev C restatement it still reports something respectable. Both are true and both are useless for the decision in front of David, because they are ANNUAL averages of a curve that is deeply negative at the start and steeply positive at the end.</t>
  </si>
  <si>
    <t xml:space="preserve">The cost base is now essentially FLAT and front-loaded — people, accountant and subscriptions all start in month 1 at close to full rate — while revenue is a ramp that does not get going until the city waves start in month 7. The trough in the cumulative row is the real capital requirement of this business, and until this sheet existed nobody had computed it.</t>
  </si>
  <si>
    <t xml:space="preserve">That trough is the single most useful number this review produces. It is what 'Cash Reserve' turns into a recommendation.</t>
  </si>
  <si>
    <t xml:space="preserve">── HELPER ROWS (used by 'Cash Reserve' and 'Business Case Rev C' — do not delete) ──</t>
  </si>
  <si>
    <t xml:space="preserve">Half-ramp net (revenue at 50%, fixed costs unchanged)</t>
  </si>
  <si>
    <t xml:space="preserve">Only payment fees scale down with revenue; every other cost is fixed.</t>
  </si>
  <si>
    <t xml:space="preserve">Half-ramp cumulative cash</t>
  </si>
  <si>
    <t xml:space="preserve">Month number if cumulative cash is positive, else 99</t>
  </si>
  <si>
    <t xml:space="preserve">MIN of this row = the first month cumulative cash turns positive. 99 = never within Year 1.</t>
  </si>
  <si>
    <t xml:space="preserve">Quarter-ramp cumulative cash (revenue at 25%)</t>
  </si>
  <si>
    <t xml:space="preserve">CASH RESERVE — the backup David asked for · Rev C 18 Aug 2026</t>
  </si>
  <si>
    <t xml:space="preserve">A 95% operating margin does not make a business safe. It makes it safe ONCE IT IS RUNNING. What kills marketplaces at this stage is a flat, front-loaded cost base meeting a revenue ramp that has not started — and after Rev C, this cost base is flat and front-loaded. The reserve is the bridge over that gap.</t>
  </si>
  <si>
    <t xml:space="preserve">A. MONTHLY FIXED CASH COST — what must be paid whether or not anyone signs up</t>
  </si>
  <si>
    <t xml:space="preserve">Subscriptions (PAID + COMMITTED)</t>
  </si>
  <si>
    <t xml:space="preserve">Claude, Higgsfield, Hetzner, domain, R2, Resend.</t>
  </si>
  <si>
    <t xml:space="preserve">3 people x 2 hrs/day at the assumed rate.</t>
  </si>
  <si>
    <t xml:space="preserve">From month 1.</t>
  </si>
  <si>
    <t xml:space="preserve">PostgreSQL (from month 7)</t>
  </si>
  <si>
    <t xml:space="preserve">Excluded from the month-1 reserve base; included in the full-stack figure below.</t>
  </si>
  <si>
    <t xml:space="preserve">FIXED CASH COST AT LAUNCH (excludes Postgres)</t>
  </si>
  <si>
    <t xml:space="preserve">Fixed cash cost with Postgres running</t>
  </si>
  <si>
    <t xml:space="preserve">Of which is TECHNOLOGY</t>
  </si>
  <si>
    <t xml:space="preserve">Share of the fixed base. The whole technology estate of this business.</t>
  </si>
  <si>
    <t xml:space="preserve">Of which is PEOPLE</t>
  </si>
  <si>
    <t xml:space="preserve">Human operations plus the accountant.</t>
  </si>
  <si>
    <t xml:space="preserve">B. THE RESERVE — three ways of sizing it, take the largest</t>
  </si>
  <si>
    <t xml:space="preserve">Method</t>
  </si>
  <si>
    <t xml:space="preserve">Reasoning</t>
  </si>
  <si>
    <t xml:space="preserve">1. Policy reserve — N months of fixed cost</t>
  </si>
  <si>
    <t xml:space="preserve">The conventional runway test. Months set on 'Assumptions Rev C' (currently 6). Answers: 'if nothing at all comes in, how long do we last?'</t>
  </si>
  <si>
    <t xml:space="preserve">2. Modelled trough — deepest cumulative cash deficit</t>
  </si>
  <si>
    <t xml:space="preserve">Read live from 'Year 1 Cash Flow Rev C'. Answers: 'if the plan happens exactly as modelled, what is the most we are ever down?' Zero here would mean the ramp self-funds from month 1.</t>
  </si>
  <si>
    <t xml:space="preserve">3. Half-ramp trough — revenue lands at 50% of plan</t>
  </si>
  <si>
    <t xml:space="preserve">A crude but honest stress: the ramp is a projection, not a measurement, and marketplace ramps miss. Computed on a helper row in 'Year 1 Cash Flow Rev C' — only payment fees fall with revenue; everything else is fixed.</t>
  </si>
  <si>
    <t xml:space="preserve">LARGEST OF THE THREE</t>
  </si>
  <si>
    <t xml:space="preserve">Quarter-ramp trough (25% of plan) is shown on 'Business Case Rev C' scenarios — deliberately NOT in this MAX, because sizing a reserve for a 75% miss is sizing for a different business.</t>
  </si>
  <si>
    <t xml:space="preserve">Stress factor</t>
  </si>
  <si>
    <t xml:space="preserve">25% headroom for what a plan does not know. Set to 1.00 on 'Assumptions Rev C' for the bare figure.</t>
  </si>
  <si>
    <t xml:space="preserve">RECOMMENDED OPENING CASH RESERVE</t>
  </si>
  <si>
    <t xml:space="preserve">Held SEPARATELY from the operating account and not counted as working capital. Rounded up to the nearest $100.</t>
  </si>
  <si>
    <t xml:space="preserve">Months of cover it actually buys</t>
  </si>
  <si>
    <t xml:space="preserve">C. HOW TO HOLD IT — the practical shape</t>
  </si>
  <si>
    <t xml:space="preserve">Separate account, not a mental note. The reserve must be somewhere that requires a deliberate act to spend. The FNB business account already exists; a linked savings or notice account costs nothing and makes the balance visible without making it convenient.</t>
  </si>
  <si>
    <t xml:space="preserve">Denominate it in rand. The costs it covers are overwhelmingly rand costs — people and the accountant — so holding the reserve in rand removes the currency mismatch entirely. The dollar-priced subscriptions are the smaller half.</t>
  </si>
  <si>
    <t xml:space="preserve">Top it up from settlement, not from profit. The cleanest rule is a fixed percentage of every Paystack settlement batch swept into the reserve until it reaches target, then stopped. That way the reserve builds automatically as revenue arrives and needs no monthly decision.</t>
  </si>
  <si>
    <t xml:space="preserve">Rebuild the moment it is drawn on. A reserve used once and not replaced is a reserve that existed once.</t>
  </si>
  <si>
    <t xml:space="preserve">Review the size at the first month where cumulative cash turns positive. At that point the trough is behind the business and the reserve can be re-sized to a smaller steady-state number — probably three months rather than six.</t>
  </si>
  <si>
    <t xml:space="preserve">D. THE THINGS THIS RESERVE DOES NOT COVER</t>
  </si>
  <si>
    <t xml:space="preserve">A Hetzner rescale. The production box is grandfathered at a price that no longer exists; resizing it costs +129% forever. That is not a cash-flow event, it is a permanent step-up, and no reserve fixes it — only a decision does.</t>
  </si>
  <si>
    <t xml:space="preserve">A Paystack chargeback run. Paystack reverses fraudulent international transactions from the account balance, and international acceptance is now live. The credit-on-verified-webhook discipline is the control; the reserve is what absorbs the timing.</t>
  </si>
  <si>
    <t xml:space="preserve">A VAT registration that arrives late. Crossing R2.3m without having registered is a penalty-and-interest event, not a budget line. The month-1 accountant is the mitigation.</t>
  </si>
  <si>
    <t xml:space="preserve">A silent metered bill. The ~$360 Google Places charge is the precedent, and the B7 rule with hard monthly caps is the control that came out of it. Every PLANNED row on the subscription register needs its cap agreed at signup, not after the first invoice.</t>
  </si>
  <si>
    <t xml:space="preserve">FULL WORKBOOK AUDIT — 16 Jul 2026 (Claude Fable) — every change from 'as filed' to current, in one place</t>
  </si>
  <si>
    <t xml:space="preserve">Rev A as filed is preserved UNCHANGED as its own file: MarketSquare_Cost_Breakdown_RevA_ARCHIVE_pre-16Jul2026.xlsx. This workbook is the LIVE model.</t>
  </si>
  <si>
    <t xml:space="preserve">Sheet</t>
  </si>
  <si>
    <t xml:space="preserve">Cell(s)</t>
  </si>
  <si>
    <t xml:space="preserve">Was</t>
  </si>
  <si>
    <t xml:space="preserve">Now</t>
  </si>
  <si>
    <t xml:space="preserve">Why</t>
  </si>
  <si>
    <t xml:space="preserve">Assumptions</t>
  </si>
  <si>
    <t xml:space="preserve">B36</t>
  </si>
  <si>
    <t xml:space="preserve">0.025 (2.5% 'blended')</t>
  </si>
  <si>
    <t xml:space="preserve">0.0381</t>
  </si>
  <si>
    <t xml:space="preserve">Live money is Paystack SA: 2.9% + R1 at ~R110 avg transaction = 3.81% effective. Old 2.5% was the Stripe assumption.</t>
  </si>
  <si>
    <t xml:space="preserve">C34</t>
  </si>
  <si>
    <t xml:space="preserve">'Required for Wave 1 Stripe (IoM/Singapore)'</t>
  </si>
  <si>
    <t xml:space="preserve">shelved note</t>
  </si>
  <si>
    <t xml:space="preserve">David SHELVED the Stripe entity on 16 Jul until income funds it (triggers in BACKLOG). Monthly $100 resumes only at unshelve.</t>
  </si>
  <si>
    <t xml:space="preserve">C28</t>
  </si>
  <si>
    <t xml:space="preserve">'What we pay per $2 of AI revenue'</t>
  </si>
  <si>
    <t xml:space="preserve">clarified</t>
  </si>
  <si>
    <t xml:space="preserve">0.004/T stays valid for Tuppence-charged SERVICES (Sonnet). The photo anonymity gate is NOT per-T and NOT user-charged — costed separately (Rev B, Gemini 3 Flash).</t>
  </si>
  <si>
    <t xml:space="preserve">B37 vs app</t>
  </si>
  <si>
    <t xml:space="preserve">ZAR 18.50 here; app charges R36 = $2 (implies 18.00)</t>
  </si>
  <si>
    <t xml:space="preserve">NOTE only</t>
  </si>
  <si>
    <t xml:space="preserve">1T=R36 is a product constant; at R18.50 it's worth $1.95 not $2.00 — a 2.6% FX drag on Tuppence revenue. Finding noted, no change (David's pricing canon).</t>
  </si>
  <si>
    <t xml:space="preserve">3-Year Summary</t>
  </si>
  <si>
    <t xml:space="preserve">B16</t>
  </si>
  <si>
    <t xml:space="preserve">Int'l entity Y1 = 1,100</t>
  </si>
  <si>
    <t xml:space="preserve">Stripe entity shelved 16 Jul — no Y1 spend. Y2/Y3 keep 1,200 assuming unshelve at Year-2 triggers.</t>
  </si>
  <si>
    <t xml:space="preserve">B18:D18</t>
  </si>
  <si>
    <t xml:space="preserve">'Payment processing (2.5%)' 5,879 / 17,279 / 99,882</t>
  </si>
  <si>
    <t xml:space="preserve">Paystack real blended rate, now a FORMULA off Assumptions B36 — changing the assumption reprices every year automatically. Label renamed.</t>
  </si>
  <si>
    <t xml:space="preserve">B19:D19</t>
  </si>
  <si>
    <t xml:space="preserve">'Anthropic API cost' 349 / 1,136 / 7,797</t>
  </si>
  <si>
    <t xml:space="preserve">'AI API cost' 627 / 1,292 / 8,398</t>
  </si>
  <si>
    <t xml:space="preserve">Old line never contained the photo anonymity gate (built after budget). New = services (Sonnet, as before) + photo gate on Gemini 3 Flash (Rev B). Values from 'AI Costs Rev B' sheet.</t>
  </si>
  <si>
    <t xml:space="preserve">B20:D20</t>
  </si>
  <si>
    <t xml:space="preserve">hardcoded totals 8,873 / 23,595 / 113,609</t>
  </si>
  <si>
    <t xml:space="preserve">Total now recomputes from its parts — the class of error you kept finding cannot recur on this row.</t>
  </si>
  <si>
    <t xml:space="preserve">B21:D21</t>
  </si>
  <si>
    <t xml:space="preserve">hardcoded NET</t>
  </si>
  <si>
    <t xml:space="preserve">formula</t>
  </si>
  <si>
    <t xml:space="preserve">B22:D22</t>
  </si>
  <si>
    <t xml:space="preserve">0.962 / 0.965 / 0.971</t>
  </si>
  <si>
    <t xml:space="preserve">True margins after Paystack + full AI cost. Still exceptional; now honest.</t>
  </si>
  <si>
    <t xml:space="preserve">B29:D29</t>
  </si>
  <si>
    <t xml:space="preserve">cost/seller 1 / 5 / 7 (hardcoded)</t>
  </si>
  <si>
    <t xml:space="preserve">B30</t>
  </si>
  <si>
    <t xml:space="preserve">'Free users 1x Standard sub covers' 1757</t>
  </si>
  <si>
    <t xml:space="preserve">'Standard' is a legacy tier name (retired for new sellers). Figure kept; label is historical.</t>
  </si>
  <si>
    <t xml:space="preserve">Year 1 Monthly</t>
  </si>
  <si>
    <t xml:space="preserve">J col / A19</t>
  </si>
  <si>
    <t xml:space="preserve">'Net $' silently excluded payments + AI COGS</t>
  </si>
  <si>
    <t xml:space="preserve">note added</t>
  </si>
  <si>
    <t xml:space="preserve">The monthly Net overstated by ~4% of revenue. Structure preserved; the exclusion is now stated on the sheet.</t>
  </si>
  <si>
    <t xml:space="preserve">AI Cost Ceilings</t>
  </si>
  <si>
    <t xml:space="preserve">A5:A6</t>
  </si>
  <si>
    <t xml:space="preserve">'Sonnet 4.6'</t>
  </si>
  <si>
    <t xml:space="preserve">'= Sonnet 5 pricing, Jul 2026'</t>
  </si>
  <si>
    <t xml:space="preserve">Model name was stale; the $3/$15 basis is still correct for the current Sonnet 5. Intro pricing noted.</t>
  </si>
  <si>
    <t xml:space="preserve">J:K</t>
  </si>
  <si>
    <t xml:space="preserve">(added earlier today)</t>
  </si>
  <si>
    <t xml:space="preserve">Gemini worst-case / COGS columns</t>
  </si>
  <si>
    <t xml:space="preserve">Worst function COGS 6.8% (Sonnet) vs ~1.1% (Gemini 3 Flash) — functions stay Sonnet-routed until the frozen-eval test passes.</t>
  </si>
  <si>
    <t xml:space="preserve">AI Revenue Analysis</t>
  </si>
  <si>
    <t xml:space="preserve">A21</t>
  </si>
  <si>
    <t xml:space="preserve">photo gate absent from margins, unstated</t>
  </si>
  <si>
    <t xml:space="preserve">scope note added</t>
  </si>
  <si>
    <t xml:space="preserve">Prevents the same silent-cost confusion recurring on this sheet.</t>
  </si>
  <si>
    <t xml:space="preserve">HEADLINE AFTER AUDIT — Year 1: costs $11,131 · net $224,023 · margin 95.27%  |  Year 2: 95.25%  |  Year 3: 95.83%</t>
  </si>
  <si>
    <t xml:space="preserve">Guards: MODEL-COST-GUARD-1 (daily $/photo drift check) · payment line now formula-driven off Assumptions!B36 · totals/net/margin are formulas, not hardcodes.</t>
  </si>
  <si>
    <t xml:space="preserve">MarketSquare — Revised 3-Year Financial Model (Session 90) · AUDITED 16 Jul 2026 — Rev B: Paystack real rates + AI on Gemini plan + Stripe shelved</t>
  </si>
  <si>
    <t xml:space="preserve">New tier prices · AI as profit centre · Realistic city ramp</t>
  </si>
  <si>
    <t xml:space="preserve">Metric</t>
  </si>
  <si>
    <t xml:space="preserve">── SCALE ──────────────────────────</t>
  </si>
  <si>
    <t xml:space="preserve">  Live cities (end of year)</t>
  </si>
  <si>
    <t xml:space="preserve">  Total sellers</t>
  </si>
  <si>
    <t xml:space="preserve">  Total buyers</t>
  </si>
  <si>
    <t xml:space="preserve">── REVENUE ────────────────────────</t>
  </si>
  <si>
    <t xml:space="preserve">  Subscription revenue</t>
  </si>
  <si>
    <t xml:space="preserve">  Introduction (Tuppence) revenue</t>
  </si>
  <si>
    <t xml:space="preserve">  AI services revenue</t>
  </si>
  <si>
    <t xml:space="preserve">  TOTAL REVENUE</t>
  </si>
  <si>
    <t xml:space="preserve">── COSTS ──────────────────────────</t>
  </si>
  <si>
    <t xml:space="preserve">  Infrastructure &amp; operations</t>
  </si>
  <si>
    <t xml:space="preserve">  International entity (Stripe — SHELVED, resumes Y2)</t>
  </si>
  <si>
    <t xml:space="preserve">  Accountant (from Year 2)</t>
  </si>
  <si>
    <t xml:space="preserve">  Payment processing (Paystack blended — Assumptions!B36)</t>
  </si>
  <si>
    <t xml:space="preserve">  AI API cost (services Sonnet + photo gate Gemini — Rev B)</t>
  </si>
  <si>
    <t xml:space="preserve">  TOTAL COSTS</t>
  </si>
  <si>
    <t xml:space="preserve">  NET INCOME</t>
  </si>
  <si>
    <t xml:space="preserve">  Operating margin</t>
  </si>
  <si>
    <t xml:space="preserve">── REVENUE MIX ─────────────────────</t>
  </si>
  <si>
    <t xml:space="preserve">  Subscriptions %</t>
  </si>
  <si>
    <t xml:space="preserve">  Introductions %</t>
  </si>
  <si>
    <t xml:space="preserve">  AI services %</t>
  </si>
  <si>
    <t xml:space="preserve">── UNIT ECONOMICS ─────────────────</t>
  </si>
  <si>
    <t xml:space="preserve">  Annual revenue per seller</t>
  </si>
  <si>
    <t xml:space="preserve">  Annual cost per seller</t>
  </si>
  <si>
    <t xml:space="preserve">  Free users 1x Standard sub covers</t>
  </si>
  <si>
    <t xml:space="preserve">⚠ SUPERSEDED 18 Aug 2026 — this sheet is HISTORY. The live business case is 'Business Case Rev C'.</t>
  </si>
  <si>
    <t xml:space="preserve">It remains correct as filed on 16 Jul 2026 and is kept so the audit trail is unbroken. What changed: human operations and a month-1 accountant were added; the AI line was restated onto the OpenAI base lane; Hetzner moved to the actual bill; PostgreSQL, the swap-out provision and thirty-five previously unmodelled third-party dependencies were brought on-budget; and the ZAR/USD rate moved from 18.50 to 16.21. Every change is itemised on 'REVIEW 18 Aug 2026'.</t>
  </si>
  <si>
    <t xml:space="preserve">Year 1 Monthly Revenue — City Launch Ramp</t>
  </si>
  <si>
    <t xml:space="preserve">Mo 1-3: Pretoria only · Mo 4-6: Wave 1 (4 cities) · Mo 7+: +8 cities/month</t>
  </si>
  <si>
    <t xml:space="preserve">Mo</t>
  </si>
  <si>
    <t xml:space="preserve">Cities</t>
  </si>
  <si>
    <t xml:space="preserve">Buyers</t>
  </si>
  <si>
    <t xml:space="preserve">Subs $</t>
  </si>
  <si>
    <t xml:space="preserve">Intros $</t>
  </si>
  <si>
    <t xml:space="preserve">AI net $</t>
  </si>
  <si>
    <t xml:space="preserve">Total $</t>
  </si>
  <si>
    <t xml:space="preserve">Infra $</t>
  </si>
  <si>
    <t xml:space="preserve">Net $</t>
  </si>
  <si>
    <t xml:space="preserve">Sub%</t>
  </si>
  <si>
    <t xml:space="preserve">Int%</t>
  </si>
  <si>
    <t xml:space="preserve">AI%</t>
  </si>
  <si>
    <t xml:space="preserve">YEAR 1 TOTAL</t>
  </si>
  <si>
    <t xml:space="preserve">AUDIT NOTE (16 Jul 2026): 'Net $' here = revenue − infrastructure ONLY. Payment processing (~3.8% of revenue) and AI COGS are excluded from this monthly view — see the audited 3-Year Summary for true net.</t>
  </si>
  <si>
    <t xml:space="preserve">AI Services — 97% Margin Profit Centre</t>
  </si>
  <si>
    <t xml:space="preserve">Sellers pay 1T=$2 per call. We pay $0.002-$0.04 to Anthropic. Net margin ~97%.</t>
  </si>
  <si>
    <t xml:space="preserve">Seller adopt%</t>
  </si>
  <si>
    <t xml:space="preserve">Buyer adopt%</t>
  </si>
  <si>
    <t xml:space="preserve">Gross rev/mo</t>
  </si>
  <si>
    <t xml:space="preserve">API cost/mo</t>
  </si>
  <si>
    <t xml:space="preserve">Net margin</t>
  </si>
  <si>
    <t xml:space="preserve">  Launch: Pretoria, 60 sellers</t>
  </si>
  <si>
    <t xml:space="preserve">  Wave 1: 4 cities, 240 sellers</t>
  </si>
  <si>
    <t xml:space="preserve">  Year 1 end: 52 cities, 7,790 sellers</t>
  </si>
  <si>
    <t xml:space="preserve">  Year 2: 52 cities, 20% seller adoption</t>
  </si>
  <si>
    <t xml:space="preserve">  Year 3: 148 cities, 35% seller adoption</t>
  </si>
  <si>
    <t xml:space="preserve">  Upside: 60% seller adoption (collector-heavy)</t>
  </si>
  <si>
    <t xml:space="preserve">WHY AI ADOPTION IS STRUCTURALLY HIGH FOR THIS MARKETPLACE</t>
  </si>
  <si>
    <t xml:space="preserve">  • Collectors: AI price-check (1T=$2) before every intro is rational — item values vary 10-100x. ROI positive from first use.</t>
  </si>
  <si>
    <t xml:space="preserve">  • Estate agents: rewrite (1T) + yield-calc (1T) per listing = 2T. At 5 new listings/month = $20 AI spend vs $12 sub. Additive, not competitive.</t>
  </si>
  <si>
    <t xml:space="preserve">  • Property investors: yield calculator run 3-5x per property at different price assumptions. Repeat rational use, not habit.</t>
  </si>
  <si>
    <t xml:space="preserve">  • Buyers: 1T price-check before committing 1T to an intro = insurance. Self-reinforcing — buyers who check convert better.</t>
  </si>
  <si>
    <t xml:space="preserve">  • The 'addiction' dynamic is repeated rational economic decisions with positive expected value. Not gamification.</t>
  </si>
  <si>
    <t xml:space="preserve">  • At 40% seller adoption: AI revenue approaches intro revenue. At 60%: AI becomes the single largest revenue stream.</t>
  </si>
  <si>
    <t xml:space="preserve">NOTE (16 Jun): per-call cost above is the 1T guidance case. Advanced functions are capped per 'AI Cost Ceilings' sheet (worst COGS 7.5%); headline margins unchanged.</t>
  </si>
  <si>
    <t xml:space="preserve">AUDIT NOTE (16 Jul 2026): margins on this sheet are for Tuppence-CHARGED services and remain valid (services stay Sonnet-routed pending eval). The photo anonymity gate is free to users and is NOT in these margins — it is costed in 'AI Costs Rev B'.</t>
  </si>
  <si>
    <t xml:space="preserve">Model Assumptions — Update blue cells as actuals come in</t>
  </si>
  <si>
    <t xml:space="preserve">Blue = hardcoded input. Update monthly_income_usd in BEA after first subscriptions arrive.</t>
  </si>
  <si>
    <t xml:space="preserve">SUBSCRIPTION TIERS (Simpler Model — adopted 9-10 Jun 2026)</t>
  </si>
  <si>
    <t xml:space="preserve">  Free price/month (USD)</t>
  </si>
  <si>
    <t xml:space="preserve">2 listing slots</t>
  </si>
  <si>
    <t xml:space="preserve">  Starter price/month (USD)</t>
  </si>
  <si>
    <t xml:space="preserve">10 slots (R90)</t>
  </si>
  <si>
    <t xml:space="preserve">  Pro price/month (USD)</t>
  </si>
  <si>
    <t xml:space="preserve">30 slots (R360)</t>
  </si>
  <si>
    <t xml:space="preserve">  Agency price/month (USD)</t>
  </si>
  <si>
    <t xml:space="preserve">Free + verified · trust-graduated slot cap</t>
  </si>
  <si>
    <t xml:space="preserve">TIER DISTRIBUTION (launch — estimate, update as actuals come in)</t>
  </si>
  <si>
    <t xml:space="preserve">  % Free</t>
  </si>
  <si>
    <t xml:space="preserve">Decreases as platform proves value</t>
  </si>
  <si>
    <t xml:space="preserve">  % Starter</t>
  </si>
  <si>
    <t xml:space="preserve">  % Pro</t>
  </si>
  <si>
    <t xml:space="preserve">  % Agency</t>
  </si>
  <si>
    <t xml:space="preserve">  Legacy tiers (Standard/Professional/Business/Elite)</t>
  </si>
  <si>
    <t xml:space="preserve">Retained for existing users only — not offered to new sellers; see bea_main _SELLER_SUB_TIERS</t>
  </si>
  <si>
    <t xml:space="preserve">INTRODUCTIONS</t>
  </si>
  <si>
    <t xml:space="preserve">  Tuppence value (USD)</t>
  </si>
  <si>
    <t xml:space="preserve">Fixed — 1T = $2</t>
  </si>
  <si>
    <t xml:space="preserve">  Intros per buyer/month (cold)</t>
  </si>
  <si>
    <t xml:space="preserve">Ramps to 0.30 by month 12</t>
  </si>
  <si>
    <t xml:space="preserve">  Intros per buyer/month (mature)</t>
  </si>
  <si>
    <t xml:space="preserve">Year 2+ steady state</t>
  </si>
  <si>
    <t xml:space="preserve">  Intro acceptance rate</t>
  </si>
  <si>
    <t xml:space="preserve">Trust Score drives this up</t>
  </si>
  <si>
    <t xml:space="preserve">  Buyers per seller (launch)</t>
  </si>
  <si>
    <t xml:space="preserve">Conservative — platform unknown</t>
  </si>
  <si>
    <t xml:space="preserve">  Buyers per seller (mature)</t>
  </si>
  <si>
    <t xml:space="preserve">Year 3 target</t>
  </si>
  <si>
    <t xml:space="preserve">AI SERVICES</t>
  </si>
  <si>
    <t xml:space="preserve">  Seller AI adoption % (launch)</t>
  </si>
  <si>
    <t xml:space="preserve">8% use AI monthly at start</t>
  </si>
  <si>
    <t xml:space="preserve">  Seller AI adoption % (mature)</t>
  </si>
  <si>
    <t xml:space="preserve">Collectors/agents drive this up</t>
  </si>
  <si>
    <t xml:space="preserve">  Avg Tuppence/seller/month on AI</t>
  </si>
  <si>
    <t xml:space="preserve">Mix of rewrite, audit, yield calc</t>
  </si>
  <si>
    <t xml:space="preserve">  Buyer AI adoption % (launch)</t>
  </si>
  <si>
    <t xml:space="preserve">Price-check before intro</t>
  </si>
  <si>
    <t xml:space="preserve">  Buyer AI adoption % (mature)</t>
  </si>
  <si>
    <t xml:space="preserve">Grows as buyers learn feature</t>
  </si>
  <si>
    <t xml:space="preserve">  Anthropic blended cost per T</t>
  </si>
  <si>
    <t xml:space="preserve">Services only (Sonnet). Photo anonymity gate costed separately — see 'AI Costs Rev B' (Gemini 3 Flash)</t>
  </si>
  <si>
    <t xml:space="preserve">INFRASTRUCTURE (monthly USD)</t>
  </si>
  <si>
    <t xml:space="preserve">  Hetzner CPX32</t>
  </si>
  <si>
    <t xml:space="preserve">Actual — Session 88 upgrade</t>
  </si>
  <si>
    <t xml:space="preserve">  Cloudflare R2 per city</t>
  </si>
  <si>
    <t xml:space="preserve">Scales linearly with city count</t>
  </si>
  <si>
    <t xml:space="preserve">  Claude Pro</t>
  </si>
  <si>
    <t xml:space="preserve">Sole dev tool</t>
  </si>
  <si>
    <t xml:space="preserve">  Domain</t>
  </si>
  <si>
    <t xml:space="preserve">~$12/yr amortised</t>
  </si>
  <si>
    <t xml:space="preserve">  International entity</t>
  </si>
  <si>
    <t xml:space="preserve">SHELVED 16 Jul 2026 (David) — resumes only when STRIPE-GLOBAL-1 unshelves (triggers in BACKLOG)</t>
  </si>
  <si>
    <t xml:space="preserve">R2,000/mo + R500 software @ R18.5</t>
  </si>
  <si>
    <t xml:space="preserve">  Payment processing blended</t>
  </si>
  <si>
    <t xml:space="preserve">Paystack SA 2.9%+R1 @ ~R110 avg tx = 3.81% · Stripe intl only when STRIPE-GLOBAL-1 unshelves</t>
  </si>
  <si>
    <t xml:space="preserve">  ZAR/USD rate</t>
  </si>
  <si>
    <t xml:space="preserve">Update periodically</t>
  </si>
  <si>
    <t xml:space="preserve">SPEND ALERT CONFIG (BEA)</t>
  </si>
  <si>
    <t xml:space="preserve">  monthly_income_usd (set in BEA)</t>
  </si>
  <si>
    <t xml:space="preserve">⚠ Update via PUT /admin/ai-spend/config after first revenue</t>
  </si>
  <si>
    <t xml:space="preserve">  alert_threshold_pct</t>
  </si>
  <si>
    <t xml:space="preserve">Alert fires when AI spend &gt; this % of income</t>
  </si>
  <si>
    <t xml:space="preserve">AI Function Cost Ceilings — bounded by construction</t>
  </si>
  <si>
    <t xml:space="preserve">Each function is hard-capped (max input/output tokens, max searches) so its worst-case cost is a known constant. See canon: AI_FUNCTION_COST_CEILINGS.md</t>
  </si>
  <si>
    <t xml:space="preserve">COST BASIS (editable)</t>
  </si>
  <si>
    <t xml:space="preserve">Sonnet input ($/Mtok) — '4.6' label historical; = Sonnet 5 pricing, Jul 2026</t>
  </si>
  <si>
    <t xml:space="preserve">Sonnet output ($/Mtok) — = Sonnet 5, Jul 2026 (intro $2/$10 to 31 Aug)</t>
  </si>
  <si>
    <t xml:space="preserve">Haiku 4.5 input ($/Mtok)</t>
  </si>
  <si>
    <t xml:space="preserve">Haiku 4.5 output ($/Mtok)</t>
  </si>
  <si>
    <t xml:space="preserve">Web search ($/search)</t>
  </si>
  <si>
    <t xml:space="preserve">Gemini 3 Flash input ($/Mtok) — Rev B (vs Sonnet input $3.00 = 6x cheaper)</t>
  </si>
  <si>
    <t xml:space="preserve">Gemini 3 Flash output ($/Mtok) — Rev B (vs Sonnet output $15.00 = 5x cheaper)</t>
  </si>
  <si>
    <t xml:space="preserve">Function</t>
  </si>
  <si>
    <t xml:space="preserve">Price T</t>
  </si>
  <si>
    <t xml:space="preserve">Price $</t>
  </si>
  <si>
    <t xml:space="preserve">Max in</t>
  </si>
  <si>
    <t xml:space="preserve">Max out</t>
  </si>
  <si>
    <t xml:space="preserve">Searches</t>
  </si>
  <si>
    <t xml:space="preserve">Worst-case $</t>
  </si>
  <si>
    <t xml:space="preserve">Max COGS</t>
  </si>
  <si>
    <t xml:space="preserve">Gemini worst-case $</t>
  </si>
  <si>
    <t xml:space="preserve">Gemini COGS</t>
  </si>
  <si>
    <t xml:space="preserve">introduction</t>
  </si>
  <si>
    <t xml:space="preserve">—</t>
  </si>
  <si>
    <t xml:space="preserve">fair_price / yield (guidance)</t>
  </si>
  <si>
    <t xml:space="preserve">Haiku</t>
  </si>
  <si>
    <t xml:space="preserve">offer_advisor</t>
  </si>
  <si>
    <t xml:space="preserve">Sonnet</t>
  </si>
  <si>
    <t xml:space="preserve">study_plan</t>
  </si>
  <si>
    <t xml:space="preserve">weekend_itinerary</t>
  </si>
  <si>
    <t xml:space="preserve">collectables_advert</t>
  </si>
  <si>
    <t xml:space="preserve">car_dossier</t>
  </si>
  <si>
    <t xml:space="preserve">property_dossier</t>
  </si>
  <si>
    <t xml:space="preserve">heritage_tour</t>
  </si>
  <si>
    <t xml:space="preserve">collection_liquidation</t>
  </si>
  <si>
    <t xml:space="preserve">expedition_dossier</t>
  </si>
  <si>
    <t xml:space="preserve">Worst COGS across all functions</t>
  </si>
  <si>
    <t xml:space="preserve">Target ceiling</t>
  </si>
  <si>
    <t xml:space="preserve">Rule: price_$ ≥ worst_case_$ ÷ (1 − target). Re-check before promoting a stub or wiring any paid feed.</t>
  </si>
  <si>
    <t xml:space="preserve">Rev B note (16 Jul 2026): advanced functions REMAIN Sonnet-routed until the frozen-eval test passes — columns J-K show the ceiling headroom IF switched to Gemini 3 Flash (worst COGS drops ~6x). The PHOTO pipeline is re-costed on Gemini in 'AI Costs Rev B'.</t>
  </si>
  <si>
    <t xml:space="preserve">AI COSTS — REVISION B: photo pipeline on Gemini 3 Flash (16 Jul 2026). Original sheets untouched (Rev A stands as filed).</t>
  </si>
  <si>
    <t xml:space="preserve">Swap-out principle preserved: ai_provider.py seam routes the photo task by config — this revision changes ROUTING, not architecture. Swap back to Claude, or to OpenAI/GLM, at any time (price triples / access banned / quality drops).</t>
  </si>
  <si>
    <t xml:space="preserve">Assumptions (blue = edit)</t>
  </si>
  <si>
    <t xml:space="preserve">Listings per seller</t>
  </si>
  <si>
    <t xml:space="preserve">planning assumption</t>
  </si>
  <si>
    <t xml:space="preserve">Svc API $ Y1/Y2/Y3:</t>
  </si>
  <si>
    <t xml:space="preserve">Avg photos stored per listing (24-cap x 70%)</t>
  </si>
  <si>
    <t xml:space="preserve">PHOTO-CAP-1</t>
  </si>
  <si>
    <t xml:space="preserve">$ / photo — Claude Sonnet 5 (Rev A reality)</t>
  </si>
  <si>
    <t xml:space="preserve">AI_PHOTO_COST_MODEL.xlsx, mixed 30% redaction</t>
  </si>
  <si>
    <t xml:space="preserve">$ / photo — Gemini 3 Flash (Rev B)</t>
  </si>
  <si>
    <t xml:space="preserve">same pipeline; ~560 img tokens; $0.50/$3.00 per M — VERIFY at ai.google.dev before switch</t>
  </si>
  <si>
    <t xml:space="preserve">Sellers Year 1</t>
  </si>
  <si>
    <t xml:space="preserve">from '3-Year Summary' as filed</t>
  </si>
  <si>
    <t xml:space="preserve">Sellers Year 2</t>
  </si>
  <si>
    <t xml:space="preserve">as filed</t>
  </si>
  <si>
    <t xml:space="preserve">Sellers Year 3</t>
  </si>
  <si>
    <t xml:space="preserve">Other AI services API cost (Rev A line, unchanged)</t>
  </si>
  <si>
    <t xml:space="preserve">stays as filed: 349 / 1,136 / 7,797 — Tuppence-funded, 97% margin</t>
  </si>
  <si>
    <t xml:space="preserve">THEN vs NOW — total AI API cost per year ($)</t>
  </si>
  <si>
    <t xml:space="preserve">Photos per year (sellers x listings x photos)</t>
  </si>
  <si>
    <t xml:space="preserve">volume driver</t>
  </si>
  <si>
    <t xml:space="preserve">REV A as FILED — AI line in the old budget</t>
  </si>
  <si>
    <t xml:space="preserve">the $349 line NEVER included the photo anonymity gate (built 11 Jul, after the budget)</t>
  </si>
  <si>
    <t xml:space="preserve">REV A REALITY — old budget + photo gate on Sonnet</t>
  </si>
  <si>
    <t xml:space="preserve">the silent killer David caught: unbudgeted</t>
  </si>
  <si>
    <t xml:space="preserve">REV B — old services + photo gate on GEMINI 3 FLASH</t>
  </si>
  <si>
    <t xml:space="preserve">the new plan</t>
  </si>
  <si>
    <t xml:space="preserve">Saving: Rev B vs Sonnet reality</t>
  </si>
  <si>
    <t xml:space="preserve">Overrun avoided vs budget as filed</t>
  </si>
  <si>
    <t xml:space="preserve">what would have silently hit us</t>
  </si>
  <si>
    <t xml:space="preserve">Rev B overshoot vs budget as filed</t>
  </si>
  <si>
    <t xml:space="preserve">small, now VISIBLE and budgeted</t>
  </si>
  <si>
    <t xml:space="preserve">Operating margin impact (Year 1, revenue $235,154 · other costs $8,524 as filed)</t>
  </si>
  <si>
    <t xml:space="preserve">Margin — Rev A as filed</t>
  </si>
  <si>
    <t xml:space="preserve">Margin — Sonnet reality</t>
  </si>
  <si>
    <t xml:space="preserve">Margin — Rev B (Gemini 3 Flash)</t>
  </si>
  <si>
    <t xml:space="preserve">Gate: MODEL-COST-GUARD-1 — daily loop compares actual $/photo to $B$9; &gt;20% drift = amber in the morning brief.</t>
  </si>
  <si>
    <t xml:space="preserve">PAYMENTS — REV B: the model charged 2.5% (Stripe); live money runs on PAYSTACK (ZA): 2.9% + R1/transaction</t>
  </si>
  <si>
    <t xml:space="preserve">Paystack % fee</t>
  </si>
  <si>
    <t xml:space="preserve">paystack.com/pricing — verify; some sources say +R1.50</t>
  </si>
  <si>
    <t xml:space="preserve">Paystack fixed fee (R)</t>
  </si>
  <si>
    <t xml:space="preserve">waived under R10</t>
  </si>
  <si>
    <t xml:space="preserve">model constant</t>
  </si>
  <si>
    <t xml:space="preserve">Blended avg transaction size (R)</t>
  </si>
  <si>
    <t xml:space="preserve">mix of R36 single-T, R72-180 small packs, R90/R360 subs — tune from live Paystack data</t>
  </si>
  <si>
    <t xml:space="preserve">Effective blended rate = % + fixed/avg-tx</t>
  </si>
  <si>
    <t xml:space="preserve">Effective rate by transaction size:</t>
  </si>
  <si>
    <t xml:space="preserve">1T top-up (R36)</t>
  </si>
  <si>
    <t xml:space="preserve">2T (R72)</t>
  </si>
  <si>
    <t xml:space="preserve">5T (R180)</t>
  </si>
  <si>
    <t xml:space="preserve">Starter sub (R90)</t>
  </si>
  <si>
    <t xml:space="preserve">Pro sub (R360)</t>
  </si>
  <si>
    <t xml:space="preserve">Payments line</t>
  </si>
  <si>
    <t xml:space="preserve">As FILED — 2.5% (Stripe assumption)</t>
  </si>
  <si>
    <t xml:space="preserve">the old model line</t>
  </si>
  <si>
    <t xml:space="preserve">REV B — Paystack effective blended rate</t>
  </si>
  <si>
    <t xml:space="preserve">Y2/Y3 international share would move to Stripe when STRIPE-GLOBAL-1 unshelves</t>
  </si>
  <si>
    <t xml:space="preserve">Increase vs filed</t>
  </si>
  <si>
    <t xml:space="preserve">Year-1 margin, all Rev B lines together (AI on Gemini + Paystack real)</t>
  </si>
  <si>
    <t xml:space="preserve">Margin — fully restated</t>
  </si>
  <si>
    <t xml:space="preserve">replaces old AI line and old payments line with Rev B values</t>
  </si>
</sst>
</file>

<file path=xl/styles.xml><?xml version="1.0" encoding="utf-8"?>
<styleSheet xmlns="http://schemas.openxmlformats.org/spreadsheetml/2006/main">
  <numFmts count="23">
    <numFmt numFmtId="164" formatCode="General"/>
    <numFmt numFmtId="165" formatCode="#,##0"/>
    <numFmt numFmtId="166" formatCode="\$#,##0;&quot;($&quot;#,##0\);\-"/>
    <numFmt numFmtId="167" formatCode="0.0%"/>
    <numFmt numFmtId="168" formatCode="\$#,##0.00;&quot;($&quot;#,##0.00\);\-"/>
    <numFmt numFmtId="169" formatCode="0&quot; (month)&quot;"/>
    <numFmt numFmtId="170" formatCode="#,##0.00"/>
    <numFmt numFmtId="171" formatCode="#,##0.0000"/>
    <numFmt numFmtId="172" formatCode="\€#,##0.00;&quot;(€&quot;#,##0.00\);\-"/>
    <numFmt numFmtId="173" formatCode="\R#,##0;&quot;(R&quot;#,##0\);\-"/>
    <numFmt numFmtId="174" formatCode="0.00%"/>
    <numFmt numFmtId="175" formatCode="0.0\x"/>
    <numFmt numFmtId="176" formatCode="0.00\x"/>
    <numFmt numFmtId="177" formatCode="\R#,##0;&quot;(R&quot;#,##0\);&quot;- /hr&quot;"/>
    <numFmt numFmtId="178" formatCode="0.0&quot; months&quot;"/>
    <numFmt numFmtId="179" formatCode="\$#,##0;&quot;($&quot;#,##0\);\-"/>
    <numFmt numFmtId="180" formatCode="0%;\(0%\);\-"/>
    <numFmt numFmtId="181" formatCode="0.00"/>
    <numFmt numFmtId="182" formatCode="0.0%;\(0.0%\);\-"/>
    <numFmt numFmtId="183" formatCode="\$#,##0.00;&quot;($&quot;#,##0.00\);\-"/>
    <numFmt numFmtId="184" formatCode="0.0"/>
    <numFmt numFmtId="185" formatCode="\$0.00"/>
    <numFmt numFmtId="186" formatCode="\$#,##0"/>
  </numFmts>
  <fonts count="3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name val="Arial"/>
      <family val="0"/>
      <charset val="1"/>
    </font>
    <font>
      <b val="true"/>
      <sz val="11"/>
      <color rgb="FFFFFFFF"/>
      <name val="Arial"/>
      <family val="0"/>
      <charset val="1"/>
    </font>
    <font>
      <b val="true"/>
      <sz val="10"/>
      <name val="Arial"/>
      <family val="0"/>
      <charset val="1"/>
    </font>
    <font>
      <b val="true"/>
      <sz val="12"/>
      <color rgb="FF1F3864"/>
      <name val="Arial"/>
      <family val="0"/>
      <charset val="1"/>
    </font>
    <font>
      <i val="true"/>
      <sz val="8"/>
      <color rgb="FF595959"/>
      <name val="Arial"/>
      <family val="0"/>
      <charset val="1"/>
    </font>
    <font>
      <b val="true"/>
      <sz val="10"/>
      <color rgb="FF1F3864"/>
      <name val="Arial"/>
      <family val="0"/>
      <charset val="1"/>
    </font>
    <font>
      <sz val="10"/>
      <color rgb="FF0000FF"/>
      <name val="Arial"/>
      <family val="0"/>
      <charset val="1"/>
    </font>
    <font>
      <sz val="10"/>
      <name val="Arial"/>
      <family val="2"/>
    </font>
    <font>
      <b val="true"/>
      <sz val="10"/>
      <color rgb="FF1E7145"/>
      <name val="Arial"/>
      <family val="0"/>
      <charset val="1"/>
    </font>
    <font>
      <b val="true"/>
      <sz val="10"/>
      <color rgb="FFBF8F00"/>
      <name val="Arial"/>
      <family val="0"/>
      <charset val="1"/>
    </font>
    <font>
      <b val="true"/>
      <sz val="10"/>
      <color rgb="FFC00000"/>
      <name val="Arial"/>
      <family val="0"/>
      <charset val="1"/>
    </font>
    <font>
      <b val="true"/>
      <sz val="11"/>
      <color rgb="FF1F3864"/>
      <name val="Arial"/>
      <family val="0"/>
      <charset val="1"/>
    </font>
    <font>
      <sz val="10"/>
      <color rgb="FF008000"/>
      <name val="Arial"/>
      <family val="0"/>
      <charset val="1"/>
    </font>
    <font>
      <b val="true"/>
      <sz val="10"/>
      <color rgb="FFFFFFFF"/>
      <name val="Arial"/>
      <family val="0"/>
      <charset val="1"/>
    </font>
    <font>
      <b val="true"/>
      <sz val="12"/>
      <name val="Arial"/>
      <family val="0"/>
      <charset val="1"/>
    </font>
    <font>
      <i val="true"/>
      <sz val="11"/>
      <name val="Arial"/>
      <family val="0"/>
      <charset val="1"/>
    </font>
    <font>
      <b val="true"/>
      <sz val="11"/>
      <name val="Arial"/>
      <family val="0"/>
      <charset val="1"/>
    </font>
    <font>
      <i val="true"/>
      <sz val="10"/>
      <color rgb="FF595959"/>
      <name val="Arial"/>
      <family val="0"/>
      <charset val="1"/>
    </font>
    <font>
      <sz val="10"/>
      <color rgb="FF000000"/>
      <name val="Arial"/>
      <family val="0"/>
      <charset val="1"/>
    </font>
    <font>
      <b val="true"/>
      <sz val="10"/>
      <color rgb="FF000000"/>
      <name val="Arial"/>
      <family val="0"/>
      <charset val="1"/>
    </font>
    <font>
      <sz val="11"/>
      <color rgb="FF0000FF"/>
      <name val="Arial"/>
      <family val="0"/>
      <charset val="1"/>
    </font>
    <font>
      <b val="true"/>
      <sz val="11"/>
      <color rgb="FFC00000"/>
      <name val="Arial"/>
      <family val="0"/>
      <charset val="1"/>
    </font>
    <font>
      <sz val="10"/>
      <color rgb="FF1F3864"/>
      <name val="Arial"/>
      <family val="0"/>
      <charset val="1"/>
    </font>
    <font>
      <sz val="9"/>
      <color rgb="FF6B7280"/>
      <name val="Arial"/>
      <family val="0"/>
      <charset val="1"/>
    </font>
    <font>
      <sz val="10"/>
      <color rgb="FFFF8C00"/>
      <name val="Arial"/>
      <family val="0"/>
      <charset val="1"/>
    </font>
    <font>
      <b val="true"/>
      <sz val="13"/>
      <color rgb="FF1E3A5F"/>
      <name val="Arial"/>
      <family val="0"/>
      <charset val="1"/>
    </font>
  </fonts>
  <fills count="15">
    <fill>
      <patternFill patternType="none"/>
    </fill>
    <fill>
      <patternFill patternType="gray125"/>
    </fill>
    <fill>
      <patternFill patternType="solid">
        <fgColor rgb="FF1F3864"/>
        <bgColor rgb="FF1E3A5F"/>
      </patternFill>
    </fill>
    <fill>
      <patternFill patternType="solid">
        <fgColor rgb="FF2E5A88"/>
        <bgColor rgb="FF2E75B6"/>
      </patternFill>
    </fill>
    <fill>
      <patternFill patternType="solid">
        <fgColor rgb="FFEAF0F7"/>
        <bgColor rgb="FFEEF3F8"/>
      </patternFill>
    </fill>
    <fill>
      <patternFill patternType="solid">
        <fgColor rgb="FFE2EFDA"/>
        <bgColor rgb="FFEAF0F7"/>
      </patternFill>
    </fill>
    <fill>
      <patternFill patternType="solid">
        <fgColor rgb="FFD9E2F3"/>
        <bgColor rgb="FFD6E4F0"/>
      </patternFill>
    </fill>
    <fill>
      <patternFill patternType="solid">
        <fgColor rgb="FFFFFF00"/>
        <bgColor rgb="FFFFFF00"/>
      </patternFill>
    </fill>
    <fill>
      <patternFill patternType="solid">
        <fgColor rgb="FFFFF2CC"/>
        <bgColor rgb="FFFCE4D6"/>
      </patternFill>
    </fill>
    <fill>
      <patternFill patternType="solid">
        <fgColor rgb="FFFCE4D6"/>
        <bgColor rgb="FFFFF2CC"/>
      </patternFill>
    </fill>
    <fill>
      <patternFill patternType="solid">
        <fgColor rgb="FF1E3A5F"/>
        <bgColor rgb="FF1F3864"/>
      </patternFill>
    </fill>
    <fill>
      <patternFill patternType="solid">
        <fgColor rgb="FF2E75B6"/>
        <bgColor rgb="FF2E5A88"/>
      </patternFill>
    </fill>
    <fill>
      <patternFill patternType="solid">
        <fgColor rgb="FFF2F2F2"/>
        <bgColor rgb="FFEEF3F8"/>
      </patternFill>
    </fill>
    <fill>
      <patternFill patternType="solid">
        <fgColor rgb="FFD6E4F0"/>
        <bgColor rgb="FFD9E2F3"/>
      </patternFill>
    </fill>
    <fill>
      <patternFill patternType="solid">
        <fgColor rgb="FFEEF3F8"/>
        <bgColor rgb="FFF2F2F2"/>
      </patternFill>
    </fill>
  </fills>
  <borders count="4">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6" fontId="7" fillId="6"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6" fontId="10"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6" fontId="10" fillId="7" borderId="0" xfId="0" applyFont="true" applyBorder="false" applyAlignment="false" applyProtection="false">
      <alignment horizontal="general" vertical="bottom" textRotation="0" wrapText="false" indent="0" shrinkToFit="false"/>
      <protection locked="true" hidden="false"/>
    </xf>
    <xf numFmtId="167" fontId="10" fillId="7"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0" fillId="6"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10" fillId="6"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9" fontId="10"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70" fontId="11" fillId="7" borderId="1" xfId="0" applyFont="true" applyBorder="true" applyAlignment="true" applyProtection="false">
      <alignment horizontal="general" vertical="top" textRotation="0" wrapText="true" indent="0" shrinkToFit="false"/>
      <protection locked="true" hidden="false"/>
    </xf>
    <xf numFmtId="171" fontId="11"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72" fontId="11" fillId="0" borderId="1" xfId="0" applyFont="true" applyBorder="true" applyAlignment="true" applyProtection="false">
      <alignment horizontal="general" vertical="top" textRotation="0" wrapText="true" indent="0" shrinkToFit="false"/>
      <protection locked="true" hidden="false"/>
    </xf>
    <xf numFmtId="172" fontId="11" fillId="7" borderId="1" xfId="0" applyFont="true" applyBorder="true" applyAlignment="true" applyProtection="false">
      <alignment horizontal="general" vertical="top" textRotation="0" wrapText="true" indent="0" shrinkToFit="false"/>
      <protection locked="true" hidden="false"/>
    </xf>
    <xf numFmtId="168" fontId="11" fillId="7"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true" applyProtection="false">
      <alignment horizontal="general" vertical="top" textRotation="0" wrapText="true" indent="0" shrinkToFit="false"/>
      <protection locked="true" hidden="false"/>
    </xf>
    <xf numFmtId="168" fontId="7" fillId="6" borderId="1" xfId="0" applyFont="true" applyBorder="true" applyAlignment="true" applyProtection="false">
      <alignment horizontal="general" vertical="top" textRotation="0" wrapText="true" indent="0" shrinkToFit="false"/>
      <protection locked="true" hidden="false"/>
    </xf>
    <xf numFmtId="170" fontId="11" fillId="0" borderId="1" xfId="0" applyFont="true" applyBorder="true" applyAlignment="true" applyProtection="false">
      <alignment horizontal="general" vertical="top" textRotation="0" wrapText="true" indent="0" shrinkToFit="false"/>
      <protection locked="true" hidden="false"/>
    </xf>
    <xf numFmtId="173" fontId="11" fillId="7" borderId="1" xfId="0" applyFont="true" applyBorder="true" applyAlignment="true" applyProtection="false">
      <alignment horizontal="general" vertical="top" textRotation="0" wrapText="true" indent="0" shrinkToFit="false"/>
      <protection locked="true" hidden="false"/>
    </xf>
    <xf numFmtId="170" fontId="5" fillId="0" borderId="1" xfId="0" applyFont="true" applyBorder="true" applyAlignment="true" applyProtection="false">
      <alignment horizontal="general" vertical="top" textRotation="0" wrapText="true" indent="0" shrinkToFit="false"/>
      <protection locked="true" hidden="false"/>
    </xf>
    <xf numFmtId="173" fontId="7" fillId="6" borderId="1" xfId="0" applyFont="true" applyBorder="true" applyAlignment="true" applyProtection="false">
      <alignment horizontal="general" vertical="top" textRotation="0" wrapText="true" indent="0" shrinkToFit="false"/>
      <protection locked="true" hidden="false"/>
    </xf>
    <xf numFmtId="173" fontId="11" fillId="0" borderId="1" xfId="0" applyFont="true" applyBorder="true" applyAlignment="true" applyProtection="false">
      <alignment horizontal="general" vertical="top" textRotation="0" wrapText="true" indent="0" shrinkToFit="false"/>
      <protection locked="true" hidden="false"/>
    </xf>
    <xf numFmtId="174" fontId="11" fillId="0" borderId="1" xfId="0" applyFont="true" applyBorder="true" applyAlignment="true" applyProtection="false">
      <alignment horizontal="general" vertical="top" textRotation="0" wrapText="true" indent="0" shrinkToFit="false"/>
      <protection locked="true" hidden="false"/>
    </xf>
    <xf numFmtId="174" fontId="7" fillId="6" borderId="1" xfId="0" applyFont="true" applyBorder="true" applyAlignment="true" applyProtection="false">
      <alignment horizontal="general" vertical="top" textRotation="0" wrapText="true" indent="0" shrinkToFit="false"/>
      <protection locked="true" hidden="false"/>
    </xf>
    <xf numFmtId="165" fontId="11" fillId="7"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center"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4" fillId="8" borderId="1" xfId="0" applyFont="true" applyBorder="true" applyAlignment="true" applyProtection="false">
      <alignment horizontal="center" vertical="bottom" textRotation="0" wrapText="false" indent="0" shrinkToFit="false"/>
      <protection locked="true" hidden="false"/>
    </xf>
    <xf numFmtId="164" fontId="15" fillId="9" borderId="1" xfId="0" applyFont="true" applyBorder="true" applyAlignment="true" applyProtection="false">
      <alignment horizontal="center"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8" fontId="16" fillId="7" borderId="0" xfId="0" applyFont="true" applyBorder="false" applyAlignment="false" applyProtection="false">
      <alignment horizontal="general" vertical="bottom" textRotation="0" wrapText="false" indent="0" shrinkToFit="false"/>
      <protection locked="true" hidden="false"/>
    </xf>
    <xf numFmtId="166" fontId="16"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10"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2" fontId="17"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8" fontId="10" fillId="7" borderId="1" xfId="0" applyFont="true" applyBorder="true" applyAlignment="false" applyProtection="false">
      <alignment horizontal="general" vertical="bottom" textRotation="0" wrapText="false" indent="0" shrinkToFit="false"/>
      <protection locked="true" hidden="false"/>
    </xf>
    <xf numFmtId="166" fontId="10" fillId="7"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72" fontId="0" fillId="5"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true" applyAlignment="true" applyProtection="false">
      <alignment horizontal="general" vertical="top" textRotation="0" wrapText="true" indent="0" shrinkToFit="false"/>
      <protection locked="true" hidden="false"/>
    </xf>
    <xf numFmtId="164" fontId="5" fillId="4" borderId="0"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8" fontId="11" fillId="5" borderId="1" xfId="0" applyFont="tru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17" fillId="7" borderId="1" xfId="0" applyFont="true" applyBorder="true" applyAlignment="false" applyProtection="false">
      <alignment horizontal="general" vertical="bottom" textRotation="0" wrapText="false" indent="0" shrinkToFit="false"/>
      <protection locked="true" hidden="false"/>
    </xf>
    <xf numFmtId="168" fontId="0" fillId="7" borderId="1" xfId="0" applyFont="false" applyBorder="true" applyAlignment="false" applyProtection="fals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75" fontId="0" fillId="0" borderId="1" xfId="0" applyFont="false" applyBorder="true" applyAlignment="false" applyProtection="false">
      <alignment horizontal="general" vertical="bottom" textRotation="0" wrapText="false" indent="0" shrinkToFit="false"/>
      <protection locked="true" hidden="false"/>
    </xf>
    <xf numFmtId="165" fontId="10" fillId="7"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6" fontId="11" fillId="0" borderId="1" xfId="0" applyFont="true" applyBorder="true" applyAlignment="false" applyProtection="false">
      <alignment horizontal="general" vertical="bottom" textRotation="0" wrapText="false" indent="0" shrinkToFit="false"/>
      <protection locked="true" hidden="false"/>
    </xf>
    <xf numFmtId="170" fontId="17" fillId="0" borderId="1" xfId="0" applyFont="true" applyBorder="true" applyAlignment="false" applyProtection="false">
      <alignment horizontal="general" vertical="bottom" textRotation="0" wrapText="false" indent="0" shrinkToFit="false"/>
      <protection locked="true" hidden="false"/>
    </xf>
    <xf numFmtId="173" fontId="17" fillId="0" borderId="1" xfId="0" applyFont="true" applyBorder="true" applyAlignment="false" applyProtection="false">
      <alignment horizontal="general" vertical="bottom" textRotation="0" wrapText="false" indent="0" shrinkToFit="false"/>
      <protection locked="true" hidden="false"/>
    </xf>
    <xf numFmtId="173" fontId="10" fillId="7"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70" fontId="6" fillId="3" borderId="1" xfId="0" applyFont="true" applyBorder="true" applyAlignment="false" applyProtection="false">
      <alignment horizontal="general" vertical="bottom" textRotation="0" wrapText="false" indent="0" shrinkToFit="false"/>
      <protection locked="true" hidden="false"/>
    </xf>
    <xf numFmtId="177" fontId="18" fillId="3" borderId="1" xfId="0" applyFont="tru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5" fontId="7" fillId="6" borderId="0" xfId="0" applyFont="true" applyBorder="false" applyAlignment="false" applyProtection="false">
      <alignment horizontal="general" vertical="bottom" textRotation="0" wrapText="false" indent="0" shrinkToFit="false"/>
      <protection locked="true" hidden="false"/>
    </xf>
    <xf numFmtId="167" fontId="7" fillId="6" borderId="0" xfId="0" applyFont="true" applyBorder="false" applyAlignment="false" applyProtection="false">
      <alignment horizontal="general" vertical="bottom" textRotation="0" wrapText="false" indent="0" shrinkToFit="false"/>
      <protection locked="true" hidden="false"/>
    </xf>
    <xf numFmtId="165" fontId="10" fillId="6" borderId="0" xfId="0" applyFont="true" applyBorder="false" applyAlignment="false" applyProtection="false">
      <alignment horizontal="general" vertical="bottom" textRotation="0" wrapText="false" indent="0" shrinkToFit="false"/>
      <protection locked="true" hidden="false"/>
    </xf>
    <xf numFmtId="168" fontId="0" fillId="6" borderId="1" xfId="0" applyFont="false" applyBorder="true" applyAlignment="false" applyProtection="false">
      <alignment horizontal="general" vertical="bottom" textRotation="0" wrapText="false" indent="0" shrinkToFit="false"/>
      <protection locked="true" hidden="false"/>
    </xf>
    <xf numFmtId="166" fontId="0" fillId="6"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6" fontId="8" fillId="7" borderId="1" xfId="0" applyFont="true" applyBorder="true" applyAlignment="false" applyProtection="false">
      <alignment horizontal="general" vertical="bottom" textRotation="0" wrapText="false" indent="0" shrinkToFit="false"/>
      <protection locked="true" hidden="false"/>
    </xf>
    <xf numFmtId="173" fontId="8" fillId="7" borderId="1" xfId="0" applyFont="true" applyBorder="tru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6" fillId="1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8" fillId="2" borderId="0"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18" fillId="2" borderId="0" xfId="0" applyFont="true" applyBorder="false" applyAlignment="true" applyProtection="false">
      <alignment horizontal="left"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false" indent="0" shrinkToFit="false"/>
      <protection locked="true" hidden="false"/>
    </xf>
    <xf numFmtId="164" fontId="18" fillId="11"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5" fontId="23" fillId="0" borderId="0" xfId="0" applyFont="true" applyBorder="false" applyAlignment="true" applyProtection="false">
      <alignment horizontal="right" vertical="center" textRotation="0" wrapText="false" indent="0" shrinkToFit="false"/>
      <protection locked="true" hidden="false"/>
    </xf>
    <xf numFmtId="179" fontId="23" fillId="0" borderId="0" xfId="0" applyFont="true" applyBorder="false" applyAlignment="true" applyProtection="false">
      <alignment horizontal="right" vertical="center" textRotation="0" wrapText="false" indent="0" shrinkToFit="false"/>
      <protection locked="true" hidden="false"/>
    </xf>
    <xf numFmtId="164" fontId="24" fillId="12" borderId="0" xfId="0" applyFont="true" applyBorder="false" applyAlignment="true" applyProtection="false">
      <alignment horizontal="left" vertical="center" textRotation="0" wrapText="false" indent="0" shrinkToFit="false"/>
      <protection locked="true" hidden="false"/>
    </xf>
    <xf numFmtId="179" fontId="24" fillId="12" borderId="0" xfId="0" applyFont="true" applyBorder="false" applyAlignment="true" applyProtection="false">
      <alignment horizontal="right" vertical="center" textRotation="0" wrapText="false" indent="0" shrinkToFit="false"/>
      <protection locked="true" hidden="false"/>
    </xf>
    <xf numFmtId="179" fontId="25" fillId="7" borderId="0" xfId="0" applyFont="true" applyBorder="false" applyAlignment="true" applyProtection="false">
      <alignment horizontal="right" vertical="center" textRotation="0" wrapText="false" indent="0" shrinkToFit="false"/>
      <protection locked="true" hidden="false"/>
    </xf>
    <xf numFmtId="165" fontId="24" fillId="12" borderId="0" xfId="0" applyFont="true" applyBorder="false" applyAlignment="true" applyProtection="false">
      <alignment horizontal="right" vertical="center" textRotation="0" wrapText="false" indent="0" shrinkToFit="false"/>
      <protection locked="true" hidden="false"/>
    </xf>
    <xf numFmtId="174" fontId="23" fillId="0" borderId="0" xfId="0" applyFont="true" applyBorder="false" applyAlignment="true" applyProtection="false">
      <alignment horizontal="right" vertical="center" textRotation="0" wrapText="false" indent="0" shrinkToFit="false"/>
      <protection locked="true" hidden="false"/>
    </xf>
    <xf numFmtId="164" fontId="23" fillId="13" borderId="0" xfId="0" applyFont="true" applyBorder="false" applyAlignment="true" applyProtection="false">
      <alignment horizontal="left" vertical="center" textRotation="0" wrapText="false" indent="0" shrinkToFit="false"/>
      <protection locked="true" hidden="false"/>
    </xf>
    <xf numFmtId="180" fontId="23" fillId="13" borderId="0" xfId="0" applyFont="true" applyBorder="false" applyAlignment="true" applyProtection="false">
      <alignment horizontal="right" vertical="center" textRotation="0" wrapText="false" indent="0" shrinkToFit="false"/>
      <protection locked="true" hidden="false"/>
    </xf>
    <xf numFmtId="181" fontId="23" fillId="0" borderId="0" xfId="0" applyFont="true" applyBorder="false" applyAlignment="true" applyProtection="false">
      <alignment horizontal="right" vertical="center" textRotation="0" wrapText="false" indent="0" shrinkToFit="false"/>
      <protection locked="true" hidden="false"/>
    </xf>
    <xf numFmtId="164" fontId="26"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23" fillId="13" borderId="0" xfId="0" applyFont="true" applyBorder="false" applyAlignment="true" applyProtection="false">
      <alignment horizontal="center" vertical="center" textRotation="0" wrapText="false" indent="0" shrinkToFit="false"/>
      <protection locked="true" hidden="false"/>
    </xf>
    <xf numFmtId="165" fontId="23" fillId="13" borderId="0" xfId="0" applyFont="true" applyBorder="false" applyAlignment="true" applyProtection="false">
      <alignment horizontal="right" vertical="center" textRotation="0" wrapText="false" indent="0" shrinkToFit="false"/>
      <protection locked="true" hidden="false"/>
    </xf>
    <xf numFmtId="179" fontId="23" fillId="13" borderId="0" xfId="0" applyFont="true" applyBorder="false" applyAlignment="true" applyProtection="false">
      <alignment horizontal="right" vertical="center" textRotation="0" wrapText="false" indent="0" shrinkToFit="false"/>
      <protection locked="true" hidden="false"/>
    </xf>
    <xf numFmtId="180" fontId="23" fillId="13"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80" fontId="23" fillId="0" borderId="0" xfId="0" applyFont="true" applyBorder="false" applyAlignment="true" applyProtection="false">
      <alignment horizontal="center" vertical="center" textRotation="0" wrapText="false" indent="0" shrinkToFit="false"/>
      <protection locked="true" hidden="false"/>
    </xf>
    <xf numFmtId="164" fontId="23" fillId="12" borderId="0" xfId="0" applyFont="true" applyBorder="false" applyAlignment="true" applyProtection="false">
      <alignment horizontal="left" vertical="center" textRotation="0" wrapText="false" indent="0" shrinkToFit="false"/>
      <protection locked="true" hidden="false"/>
    </xf>
    <xf numFmtId="180" fontId="24" fillId="12"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82" fontId="23" fillId="13" borderId="0" xfId="0" applyFont="true" applyBorder="false" applyAlignment="true" applyProtection="false">
      <alignment horizontal="right" vertical="center" textRotation="0" wrapText="false" indent="0" shrinkToFit="false"/>
      <protection locked="true" hidden="false"/>
    </xf>
    <xf numFmtId="183" fontId="23" fillId="13" borderId="0" xfId="0" applyFont="true" applyBorder="false" applyAlignment="true" applyProtection="false">
      <alignment horizontal="right" vertical="center" textRotation="0" wrapText="false" indent="0" shrinkToFit="false"/>
      <protection locked="true" hidden="false"/>
    </xf>
    <xf numFmtId="182" fontId="23" fillId="0" borderId="0" xfId="0" applyFont="true" applyBorder="false" applyAlignment="true" applyProtection="false">
      <alignment horizontal="right" vertical="center" textRotation="0" wrapText="false" indent="0" shrinkToFit="false"/>
      <protection locked="true" hidden="false"/>
    </xf>
    <xf numFmtId="183" fontId="23" fillId="0" borderId="0" xfId="0" applyFont="true" applyBorder="false" applyAlignment="true" applyProtection="false">
      <alignment horizontal="right" vertical="center" textRotation="0" wrapText="false" indent="0" shrinkToFit="false"/>
      <protection locked="true" hidden="false"/>
    </xf>
    <xf numFmtId="164" fontId="27" fillId="0" borderId="0" xfId="0" applyFont="true" applyBorder="true" applyAlignment="true" applyProtection="false">
      <alignment horizontal="left" vertical="center"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83" fontId="11" fillId="0" borderId="0" xfId="0" applyFont="true" applyBorder="false" applyAlignment="true" applyProtection="false">
      <alignment horizontal="right" vertical="center" textRotation="0" wrapText="false" indent="0" shrinkToFit="false"/>
      <protection locked="true" hidden="false"/>
    </xf>
    <xf numFmtId="182" fontId="11" fillId="0" borderId="0" xfId="0" applyFont="true" applyBorder="false" applyAlignment="true" applyProtection="false">
      <alignment horizontal="right" vertical="center" textRotation="0" wrapText="false" indent="0" shrinkToFit="false"/>
      <protection locked="true" hidden="false"/>
    </xf>
    <xf numFmtId="181" fontId="11" fillId="0" borderId="0" xfId="0" applyFont="true" applyBorder="false" applyAlignment="true" applyProtection="false">
      <alignment horizontal="right" vertical="center" textRotation="0" wrapText="false" indent="0" shrinkToFit="false"/>
      <protection locked="true" hidden="false"/>
    </xf>
    <xf numFmtId="184" fontId="11" fillId="0" borderId="0" xfId="0" applyFont="true" applyBorder="false" applyAlignment="true" applyProtection="false">
      <alignment horizontal="right" vertical="center" textRotation="0" wrapText="false" indent="0" shrinkToFit="false"/>
      <protection locked="true" hidden="false"/>
    </xf>
    <xf numFmtId="183" fontId="29" fillId="7" borderId="0" xfId="0" applyFont="true" applyBorder="false" applyAlignment="true" applyProtection="false">
      <alignment horizontal="right"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18" fillId="1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83" fontId="11" fillId="0" borderId="0" xfId="0" applyFont="true" applyBorder="false" applyAlignment="false" applyProtection="false">
      <alignment horizontal="general" vertical="bottom" textRotation="0" wrapText="false" indent="0" shrinkToFit="false"/>
      <protection locked="true" hidden="false"/>
    </xf>
    <xf numFmtId="185" fontId="25" fillId="7" borderId="0" xfId="0" applyFont="true" applyBorder="false" applyAlignment="fals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center" vertical="bottom" textRotation="0" wrapText="true" indent="0" shrinkToFit="false"/>
      <protection locked="true" hidden="false"/>
    </xf>
    <xf numFmtId="164" fontId="6" fillId="1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83" fontId="0" fillId="0" borderId="3"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7" fontId="0" fillId="0" borderId="3" xfId="0" applyFont="false" applyBorder="true" applyAlignment="false" applyProtection="false">
      <alignment horizontal="general" vertical="bottom" textRotation="0" wrapText="false" indent="0" shrinkToFit="false"/>
      <protection locked="true" hidden="false"/>
    </xf>
    <xf numFmtId="164" fontId="5" fillId="14" borderId="3" xfId="0" applyFont="true" applyBorder="true" applyAlignment="false" applyProtection="false">
      <alignment horizontal="general" vertical="bottom" textRotation="0" wrapText="false" indent="0" shrinkToFit="false"/>
      <protection locked="true" hidden="false"/>
    </xf>
    <xf numFmtId="183" fontId="0" fillId="14" borderId="3" xfId="0" applyFont="false" applyBorder="true" applyAlignment="false" applyProtection="false">
      <alignment horizontal="general" vertical="bottom" textRotation="0" wrapText="false" indent="0" shrinkToFit="false"/>
      <protection locked="true" hidden="false"/>
    </xf>
    <xf numFmtId="164" fontId="0" fillId="14" borderId="3" xfId="0" applyFont="false" applyBorder="true" applyAlignment="false" applyProtection="false">
      <alignment horizontal="general" vertical="bottom" textRotation="0" wrapText="false" indent="0" shrinkToFit="false"/>
      <protection locked="true" hidden="false"/>
    </xf>
    <xf numFmtId="167" fontId="0" fillId="14" borderId="3" xfId="0" applyFont="false" applyBorder="true" applyAlignment="false" applyProtection="false">
      <alignment horizontal="general" vertical="bottom" textRotation="0" wrapText="false" indent="0" shrinkToFit="false"/>
      <protection locked="true" hidden="false"/>
    </xf>
    <xf numFmtId="185" fontId="0" fillId="0" borderId="0" xfId="0" applyFont="fals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28" fillId="0" borderId="0" xfId="0" applyFont="true" applyBorder="false" applyAlignment="false" applyProtection="false">
      <alignment horizontal="general" vertical="bottom" textRotation="0" wrapText="false" indent="0" shrinkToFit="false"/>
      <protection locked="true" hidden="false"/>
    </xf>
    <xf numFmtId="164" fontId="25" fillId="7" borderId="0" xfId="0" applyFont="true" applyBorder="fals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general" vertical="top" textRotation="0" wrapText="true" indent="0" shrinkToFit="false"/>
      <protection locked="true" hidden="false"/>
    </xf>
    <xf numFmtId="186" fontId="0" fillId="0" borderId="2" xfId="0" applyFont="false" applyBorder="true" applyAlignment="true" applyProtection="false">
      <alignment horizontal="general" vertical="top" textRotation="0" wrapText="tru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8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sz val="10"/>
      </font>
      <fill>
        <patternFill>
          <bgColor rgb="FFFCE4D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F8F00"/>
      <rgbColor rgb="FF800080"/>
      <rgbColor rgb="FF1E7145"/>
      <rgbColor rgb="FFB4C6E7"/>
      <rgbColor rgb="FF595959"/>
      <rgbColor rgb="FF9999FF"/>
      <rgbColor rgb="FF993366"/>
      <rgbColor rgb="FFFFF2CC"/>
      <rgbColor rgb="FFEAF0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F3F8"/>
      <rgbColor rgb="FFE2EFDA"/>
      <rgbColor rgb="FFF2F2F2"/>
      <rgbColor rgb="FFD6E4F0"/>
      <rgbColor rgb="FFFF99CC"/>
      <rgbColor rgb="FFD9E2F3"/>
      <rgbColor rgb="FFFCE4D6"/>
      <rgbColor rgb="FF2E75B6"/>
      <rgbColor rgb="FF33CCCC"/>
      <rgbColor rgb="FF99CC00"/>
      <rgbColor rgb="FFFFCC00"/>
      <rgbColor rgb="FFFF8C00"/>
      <rgbColor rgb="FFFF6600"/>
      <rgbColor rgb="FF6B7280"/>
      <rgbColor rgb="FFB0B0B0"/>
      <rgbColor rgb="FF1F3864"/>
      <rgbColor rgb="FF339966"/>
      <rgbColor rgb="FF003300"/>
      <rgbColor rgb="FF333300"/>
      <rgbColor rgb="FF993300"/>
      <rgbColor rgb="FF993366"/>
      <rgbColor rgb="FF2E5A88"/>
      <rgbColor rgb="FF1E3A5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4" min="2" style="0" width="30"/>
    <col collapsed="false" customWidth="true" hidden="false" outlineLevel="0" max="5" min="5" style="0" width="62"/>
  </cols>
  <sheetData>
    <row r="1" customFormat="false" ht="21.75" hidden="false" customHeight="true" outlineLevel="0" collapsed="false">
      <c r="A1" s="1" t="s">
        <v>0</v>
      </c>
      <c r="B1" s="1"/>
      <c r="C1" s="1"/>
      <c r="D1" s="1"/>
      <c r="E1" s="1"/>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row>
    <row r="5" customFormat="false" ht="57.75" hidden="false" customHeight="true" outlineLevel="0" collapsed="false">
      <c r="A5" s="4" t="s">
        <v>7</v>
      </c>
      <c r="B5" s="5" t="s">
        <v>8</v>
      </c>
      <c r="C5" s="5" t="s">
        <v>9</v>
      </c>
      <c r="D5" s="4" t="s">
        <v>10</v>
      </c>
      <c r="E5" s="5" t="s">
        <v>11</v>
      </c>
    </row>
    <row r="6" customFormat="false" ht="57.75" hidden="false" customHeight="true" outlineLevel="0" collapsed="false">
      <c r="A6" s="4" t="s">
        <v>12</v>
      </c>
      <c r="B6" s="5" t="s">
        <v>13</v>
      </c>
      <c r="C6" s="5" t="s">
        <v>14</v>
      </c>
      <c r="D6" s="4" t="s">
        <v>15</v>
      </c>
      <c r="E6" s="5" t="s">
        <v>16</v>
      </c>
    </row>
    <row r="7" customFormat="false" ht="57.75" hidden="false" customHeight="true" outlineLevel="0" collapsed="false">
      <c r="A7" s="4" t="s">
        <v>17</v>
      </c>
      <c r="B7" s="5" t="s">
        <v>18</v>
      </c>
      <c r="C7" s="5" t="s">
        <v>19</v>
      </c>
      <c r="D7" s="4" t="s">
        <v>20</v>
      </c>
      <c r="E7" s="5" t="s">
        <v>21</v>
      </c>
    </row>
    <row r="8" customFormat="false" ht="57.75" hidden="false" customHeight="true" outlineLevel="0" collapsed="false">
      <c r="A8" s="4" t="s">
        <v>22</v>
      </c>
      <c r="B8" s="5" t="s">
        <v>23</v>
      </c>
      <c r="C8" s="5" t="s">
        <v>24</v>
      </c>
      <c r="D8" s="4" t="s">
        <v>25</v>
      </c>
      <c r="E8" s="5" t="s">
        <v>26</v>
      </c>
    </row>
    <row r="9" customFormat="false" ht="57.75" hidden="false" customHeight="true" outlineLevel="0" collapsed="false">
      <c r="A9" s="4" t="s">
        <v>27</v>
      </c>
      <c r="B9" s="5" t="s">
        <v>28</v>
      </c>
      <c r="C9" s="5" t="s">
        <v>29</v>
      </c>
      <c r="D9" s="4" t="s">
        <v>30</v>
      </c>
      <c r="E9" s="5" t="s">
        <v>31</v>
      </c>
    </row>
    <row r="10" customFormat="false" ht="57.75" hidden="false" customHeight="true" outlineLevel="0" collapsed="false">
      <c r="A10" s="4" t="s">
        <v>32</v>
      </c>
      <c r="B10" s="5" t="s">
        <v>33</v>
      </c>
      <c r="C10" s="5" t="s">
        <v>34</v>
      </c>
      <c r="D10" s="4" t="s">
        <v>35</v>
      </c>
      <c r="E10" s="5" t="s">
        <v>36</v>
      </c>
    </row>
    <row r="11" customFormat="false" ht="57.75" hidden="false" customHeight="true" outlineLevel="0" collapsed="false">
      <c r="A11" s="4" t="s">
        <v>37</v>
      </c>
      <c r="B11" s="5" t="s">
        <v>38</v>
      </c>
      <c r="C11" s="5" t="s">
        <v>39</v>
      </c>
      <c r="D11" s="4" t="s">
        <v>40</v>
      </c>
      <c r="E11" s="5" t="s">
        <v>41</v>
      </c>
    </row>
    <row r="12" customFormat="false" ht="57.75" hidden="false" customHeight="true" outlineLevel="0" collapsed="false">
      <c r="A12" s="4" t="s">
        <v>42</v>
      </c>
      <c r="B12" s="5" t="s">
        <v>43</v>
      </c>
      <c r="C12" s="5" t="s">
        <v>44</v>
      </c>
      <c r="D12" s="4" t="s">
        <v>45</v>
      </c>
      <c r="E12" s="5" t="s">
        <v>46</v>
      </c>
    </row>
    <row r="13" customFormat="false" ht="57.75" hidden="false" customHeight="true" outlineLevel="0" collapsed="false">
      <c r="A13" s="4" t="s">
        <v>47</v>
      </c>
      <c r="B13" s="5" t="s">
        <v>48</v>
      </c>
      <c r="C13" s="5" t="s">
        <v>49</v>
      </c>
      <c r="D13" s="4" t="s">
        <v>50</v>
      </c>
      <c r="E13" s="5" t="s">
        <v>51</v>
      </c>
    </row>
    <row r="14" customFormat="false" ht="57.75" hidden="false" customHeight="true" outlineLevel="0" collapsed="false">
      <c r="A14" s="4" t="s">
        <v>52</v>
      </c>
      <c r="B14" s="5" t="s">
        <v>53</v>
      </c>
      <c r="C14" s="5" t="s">
        <v>54</v>
      </c>
      <c r="D14" s="4" t="s">
        <v>55</v>
      </c>
      <c r="E14" s="5" t="s">
        <v>56</v>
      </c>
    </row>
    <row r="15" customFormat="false" ht="57.75" hidden="false" customHeight="true" outlineLevel="0" collapsed="false">
      <c r="A15" s="4" t="s">
        <v>57</v>
      </c>
      <c r="B15" s="5" t="s">
        <v>58</v>
      </c>
      <c r="C15" s="5" t="s">
        <v>59</v>
      </c>
      <c r="D15" s="4" t="s">
        <v>60</v>
      </c>
      <c r="E15" s="5" t="s">
        <v>61</v>
      </c>
    </row>
    <row r="16" customFormat="false" ht="57.75" hidden="false" customHeight="true" outlineLevel="0" collapsed="false">
      <c r="A16" s="4" t="s">
        <v>62</v>
      </c>
      <c r="B16" s="5" t="s">
        <v>33</v>
      </c>
      <c r="C16" s="5" t="s">
        <v>63</v>
      </c>
      <c r="D16" s="4" t="s">
        <v>64</v>
      </c>
      <c r="E16" s="5" t="s">
        <v>65</v>
      </c>
    </row>
    <row r="17" customFormat="false" ht="57.75" hidden="false" customHeight="true" outlineLevel="0" collapsed="false">
      <c r="A17" s="4" t="s">
        <v>66</v>
      </c>
      <c r="B17" s="5" t="s">
        <v>67</v>
      </c>
      <c r="C17" s="5" t="s">
        <v>68</v>
      </c>
      <c r="D17" s="4" t="s">
        <v>69</v>
      </c>
      <c r="E17" s="5" t="s">
        <v>70</v>
      </c>
    </row>
    <row r="18" customFormat="false" ht="57.75" hidden="false" customHeight="true" outlineLevel="0" collapsed="false">
      <c r="A18" s="4" t="s">
        <v>71</v>
      </c>
      <c r="B18" s="5" t="s">
        <v>72</v>
      </c>
      <c r="C18" s="5" t="s">
        <v>73</v>
      </c>
      <c r="D18" s="4" t="s">
        <v>74</v>
      </c>
      <c r="E18" s="5" t="s">
        <v>75</v>
      </c>
    </row>
    <row r="20" customFormat="false" ht="15" hidden="false" customHeight="false" outlineLevel="0" collapsed="false">
      <c r="A20" s="6" t="s">
        <v>76</v>
      </c>
    </row>
    <row r="21" customFormat="false" ht="68.65" hidden="false" customHeight="false" outlineLevel="0" collapsed="false">
      <c r="A21" s="7" t="s">
        <v>77</v>
      </c>
    </row>
    <row r="22" customFormat="false" ht="46.25" hidden="false" customHeight="false" outlineLevel="0" collapsed="false">
      <c r="A22" s="7" t="s">
        <v>78</v>
      </c>
    </row>
    <row r="23" customFormat="false" ht="68.65" hidden="false" customHeight="false" outlineLevel="0" collapsed="false">
      <c r="A23" s="7"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5" min="2" style="0" width="16"/>
    <col collapsed="false" customWidth="true" hidden="false" outlineLevel="0" max="6" min="6" style="0" width="62"/>
  </cols>
  <sheetData>
    <row r="1" customFormat="false" ht="21.75" hidden="false" customHeight="true" outlineLevel="0" collapsed="false">
      <c r="A1" s="1" t="s">
        <v>80</v>
      </c>
      <c r="B1" s="1"/>
      <c r="C1" s="1"/>
      <c r="D1" s="1"/>
      <c r="E1" s="1"/>
      <c r="F1" s="1"/>
    </row>
    <row r="2" customFormat="false" ht="15" hidden="false" customHeight="false" outlineLevel="0" collapsed="false">
      <c r="A2" s="8" t="s">
        <v>81</v>
      </c>
      <c r="B2" s="8"/>
      <c r="C2" s="8"/>
      <c r="D2" s="8"/>
      <c r="E2" s="8"/>
      <c r="F2" s="8"/>
    </row>
    <row r="4" customFormat="false" ht="30" hidden="false" customHeight="true" outlineLevel="0" collapsed="false">
      <c r="A4" s="3"/>
      <c r="B4" s="3" t="s">
        <v>82</v>
      </c>
      <c r="C4" s="3" t="s">
        <v>83</v>
      </c>
      <c r="D4" s="3" t="s">
        <v>84</v>
      </c>
      <c r="E4" s="3" t="s">
        <v>85</v>
      </c>
      <c r="F4" s="3" t="s">
        <v>86</v>
      </c>
    </row>
    <row r="5" customFormat="false" ht="15" hidden="false" customHeight="false" outlineLevel="0" collapsed="false">
      <c r="A5" s="9" t="s">
        <v>87</v>
      </c>
      <c r="B5" s="10"/>
      <c r="C5" s="10"/>
      <c r="D5" s="10"/>
      <c r="E5" s="10"/>
      <c r="F5" s="10"/>
    </row>
    <row r="6" customFormat="false" ht="28.35" hidden="false" customHeight="false" outlineLevel="0" collapsed="false">
      <c r="A6" s="2" t="s">
        <v>88</v>
      </c>
      <c r="B6" s="11" t="n">
        <f aca="false">'Assumptions Rev C'!$B$9</f>
        <v>7790</v>
      </c>
      <c r="C6" s="11" t="n">
        <f aca="false">'Assumptions Rev C'!$B$10</f>
        <v>4368</v>
      </c>
      <c r="D6" s="11" t="n">
        <f aca="false">'Assumptions Rev C'!$B$11</f>
        <v>16872</v>
      </c>
      <c r="F6" s="12" t="s">
        <v>89</v>
      </c>
    </row>
    <row r="7" customFormat="false" ht="15" hidden="false" customHeight="false" outlineLevel="0" collapsed="false">
      <c r="A7" s="9" t="s">
        <v>90</v>
      </c>
      <c r="B7" s="10"/>
      <c r="C7" s="10"/>
      <c r="D7" s="10"/>
      <c r="E7" s="10"/>
      <c r="F7" s="10"/>
    </row>
    <row r="8" customFormat="false" ht="15" hidden="false" customHeight="false" outlineLevel="0" collapsed="false">
      <c r="A8" s="13" t="s">
        <v>91</v>
      </c>
      <c r="B8" s="14" t="n">
        <f aca="false">'Assumptions Rev C'!$B$12</f>
        <v>235154</v>
      </c>
      <c r="C8" s="14" t="n">
        <f aca="false">'Assumptions Rev C'!$B$13</f>
        <v>691173</v>
      </c>
      <c r="D8" s="14" t="n">
        <f aca="false">'Assumptions Rev C'!$B$14</f>
        <v>3995294</v>
      </c>
      <c r="E8" s="15" t="n">
        <f aca="false">SUM(B8:D8)</f>
        <v>4921621</v>
      </c>
      <c r="F8" s="12" t="s">
        <v>92</v>
      </c>
    </row>
    <row r="9" customFormat="false" ht="15" hidden="false" customHeight="false" outlineLevel="0" collapsed="false">
      <c r="A9" s="9" t="s">
        <v>93</v>
      </c>
      <c r="B9" s="10"/>
      <c r="C9" s="10"/>
      <c r="D9" s="10"/>
      <c r="E9" s="10"/>
      <c r="F9" s="10"/>
    </row>
    <row r="10" customFormat="false" ht="19.4" hidden="false" customHeight="false" outlineLevel="0" collapsed="false">
      <c r="A10" s="2" t="s">
        <v>94</v>
      </c>
      <c r="B10" s="16" t="n">
        <f aca="false">'Subscriptions Register'!$E$59*12</f>
        <v>3982.2</v>
      </c>
      <c r="C10" s="16" t="n">
        <f aca="false">'Subscriptions Register'!$E$59*12</f>
        <v>3982.2</v>
      </c>
      <c r="D10" s="16" t="n">
        <f aca="false">'Subscriptions Register'!$E$59*12</f>
        <v>3982.2</v>
      </c>
      <c r="E10" s="15" t="n">
        <f aca="false">SUM(B10:D10)</f>
        <v>11946.6</v>
      </c>
      <c r="F10" s="12" t="s">
        <v>95</v>
      </c>
    </row>
    <row r="11" customFormat="false" ht="28.35" hidden="false" customHeight="false" outlineLevel="0" collapsed="false">
      <c r="A11" s="17" t="s">
        <v>62</v>
      </c>
      <c r="B11" s="18" t="n">
        <f aca="false">IF('Assumptions Rev C'!$B$41&gt;99,0,'Assumptions Rev C'!$B$44*12)</f>
        <v>20280.814312153</v>
      </c>
      <c r="C11" s="18" t="n">
        <f aca="false">IF('Assumptions Rev C'!$B$41&gt;99,0,'Assumptions Rev C'!$B$44*12)</f>
        <v>20280.814312153</v>
      </c>
      <c r="D11" s="18" t="n">
        <f aca="false">IF('Assumptions Rev C'!$B$41&gt;99,0,'Assumptions Rev C'!$B$44*12*2)</f>
        <v>40561.628624306</v>
      </c>
      <c r="E11" s="15" t="n">
        <f aca="false">SUM(B11:D11)</f>
        <v>81123.257248612</v>
      </c>
      <c r="F11" s="12" t="s">
        <v>96</v>
      </c>
    </row>
    <row r="12" customFormat="false" ht="15" hidden="false" customHeight="false" outlineLevel="0" collapsed="false">
      <c r="A12" s="2" t="s">
        <v>97</v>
      </c>
      <c r="B12" s="16" t="n">
        <f aca="false">IF('Assumptions Rev C'!$B$48&gt;12,0,'Assumptions Rev C'!$B$49*(13-'Assumptions Rev C'!$B$48))</f>
        <v>1850.70943861814</v>
      </c>
      <c r="C12" s="16" t="n">
        <f aca="false">'Assumptions Rev C'!$B$49*12</f>
        <v>1850.70943861814</v>
      </c>
      <c r="D12" s="16" t="n">
        <f aca="false">'Assumptions Rev C'!$B$49*12</f>
        <v>1850.70943861814</v>
      </c>
      <c r="E12" s="15" t="n">
        <f aca="false">SUM(B12:D12)</f>
        <v>5552.12831585441</v>
      </c>
      <c r="F12" s="12" t="s">
        <v>98</v>
      </c>
    </row>
    <row r="13" customFormat="false" ht="15" hidden="false" customHeight="false" outlineLevel="0" collapsed="false">
      <c r="A13" s="2" t="s">
        <v>99</v>
      </c>
      <c r="B13" s="16" t="n">
        <f aca="false">IF('Assumptions Rev C'!$B$25&gt;12,0,'Assumptions Rev C'!$B$26*(13-'Assumptions Rev C'!$B$25))</f>
        <v>133.38</v>
      </c>
      <c r="C13" s="16" t="n">
        <f aca="false">'Assumptions Rev C'!$B$26*12</f>
        <v>266.76</v>
      </c>
      <c r="D13" s="16" t="n">
        <f aca="false">'Assumptions Rev C'!$B$26*12</f>
        <v>266.76</v>
      </c>
      <c r="E13" s="15" t="n">
        <f aca="false">SUM(B13:D13)</f>
        <v>666.9</v>
      </c>
      <c r="F13" s="12" t="s">
        <v>100</v>
      </c>
    </row>
    <row r="14" customFormat="false" ht="19.4" hidden="false" customHeight="false" outlineLevel="0" collapsed="false">
      <c r="A14" s="2" t="s">
        <v>101</v>
      </c>
      <c r="B14" s="16" t="n">
        <f aca="false">B8*'Assumptions Rev C'!$B$54</f>
        <v>8957.22963636364</v>
      </c>
      <c r="C14" s="16" t="n">
        <f aca="false">C8*'Assumptions Rev C'!$B$54</f>
        <v>26327.4079090909</v>
      </c>
      <c r="D14" s="16" t="n">
        <f aca="false">D8*'Assumptions Rev C'!$B$54</f>
        <v>152184.380545455</v>
      </c>
      <c r="E14" s="15" t="n">
        <f aca="false">SUM(B14:D14)</f>
        <v>187469.018090909</v>
      </c>
      <c r="F14" s="12" t="s">
        <v>102</v>
      </c>
    </row>
    <row r="15" customFormat="false" ht="15" hidden="false" customHeight="false" outlineLevel="0" collapsed="false">
      <c r="A15" s="2" t="s">
        <v>103</v>
      </c>
      <c r="B15" s="16" t="n">
        <f aca="false">'AI Lanes Rev C'!B22</f>
        <v>250.8</v>
      </c>
      <c r="C15" s="16" t="n">
        <f aca="false">'AI Lanes Rev C'!C22</f>
        <v>516.8</v>
      </c>
      <c r="D15" s="16" t="n">
        <f aca="false">'AI Lanes Rev C'!D22</f>
        <v>3359.2</v>
      </c>
      <c r="E15" s="15" t="n">
        <f aca="false">SUM(B15:D15)</f>
        <v>4126.8</v>
      </c>
      <c r="F15" s="12" t="s">
        <v>104</v>
      </c>
    </row>
    <row r="16" customFormat="false" ht="15" hidden="false" customHeight="false" outlineLevel="0" collapsed="false">
      <c r="A16" s="2" t="s">
        <v>105</v>
      </c>
      <c r="B16" s="16" t="n">
        <f aca="false">'Assumptions Rev C'!$B$32</f>
        <v>280</v>
      </c>
      <c r="C16" s="16" t="s">
        <v>106</v>
      </c>
      <c r="D16" s="16" t="s">
        <v>106</v>
      </c>
      <c r="E16" s="15" t="n">
        <f aca="false">SUM(B16:D16)</f>
        <v>280</v>
      </c>
      <c r="F16" s="12" t="s">
        <v>107</v>
      </c>
    </row>
    <row r="17" customFormat="false" ht="15" hidden="false" customHeight="false" outlineLevel="0" collapsed="false">
      <c r="A17" s="19" t="s">
        <v>108</v>
      </c>
      <c r="B17" s="20" t="n">
        <f aca="false">SUM(B10:B16)</f>
        <v>35735.1333871348</v>
      </c>
      <c r="C17" s="20" t="n">
        <f aca="false">SUM(C10:C16)</f>
        <v>53224.691659862</v>
      </c>
      <c r="D17" s="20" t="n">
        <f aca="false">SUM(D10:D16)</f>
        <v>202204.878608379</v>
      </c>
      <c r="E17" s="15" t="n">
        <f aca="false">SUM(B17:D17)</f>
        <v>291164.703655376</v>
      </c>
      <c r="F17" s="12"/>
    </row>
    <row r="18" customFormat="false" ht="15" hidden="false" customHeight="false" outlineLevel="0" collapsed="false">
      <c r="A18" s="9" t="s">
        <v>109</v>
      </c>
      <c r="B18" s="10"/>
      <c r="C18" s="10"/>
      <c r="D18" s="10"/>
      <c r="E18" s="10"/>
      <c r="F18" s="10"/>
    </row>
    <row r="19" customFormat="false" ht="15" hidden="false" customHeight="false" outlineLevel="0" collapsed="false">
      <c r="A19" s="21" t="s">
        <v>110</v>
      </c>
      <c r="B19" s="22" t="n">
        <f aca="false">B8-B17</f>
        <v>199418.866612865</v>
      </c>
      <c r="C19" s="22" t="n">
        <f aca="false">C8-C17</f>
        <v>637948.308340138</v>
      </c>
      <c r="D19" s="22" t="n">
        <f aca="false">D8-D17</f>
        <v>3793089.12139162</v>
      </c>
      <c r="E19" s="15" t="n">
        <f aca="false">SUM(B19:D19)</f>
        <v>4630456.29634463</v>
      </c>
      <c r="F19" s="12"/>
    </row>
    <row r="20" customFormat="false" ht="19.4" hidden="false" customHeight="false" outlineLevel="0" collapsed="false">
      <c r="A20" s="21" t="s">
        <v>111</v>
      </c>
      <c r="B20" s="23" t="n">
        <f aca="false">IFERROR(B19/B8,0)</f>
        <v>0.848035188059167</v>
      </c>
      <c r="C20" s="23" t="n">
        <f aca="false">IFERROR(C19/C8,0)</f>
        <v>0.922993676460362</v>
      </c>
      <c r="D20" s="23" t="n">
        <f aca="false">IFERROR(D19/D8,0)</f>
        <v>0.949389236784983</v>
      </c>
      <c r="F20" s="12" t="s">
        <v>112</v>
      </c>
    </row>
    <row r="21" customFormat="false" ht="15" hidden="false" customHeight="false" outlineLevel="0" collapsed="false">
      <c r="A21" s="2" t="s">
        <v>113</v>
      </c>
      <c r="B21" s="24" t="s">
        <v>114</v>
      </c>
      <c r="C21" s="24" t="s">
        <v>115</v>
      </c>
      <c r="D21" s="24" t="s">
        <v>116</v>
      </c>
      <c r="F21" s="12" t="s">
        <v>117</v>
      </c>
    </row>
    <row r="22" customFormat="false" ht="15" hidden="false" customHeight="false" outlineLevel="0" collapsed="false">
      <c r="A22" s="2" t="s">
        <v>118</v>
      </c>
      <c r="B22" s="25" t="n">
        <f aca="false">IFERROR(B17/B6,0)</f>
        <v>4.58730852209689</v>
      </c>
      <c r="C22" s="25" t="n">
        <f aca="false">IFERROR(C17/C6,0)</f>
        <v>12.1851400320197</v>
      </c>
      <c r="D22" s="25" t="n">
        <f aca="false">IFERROR(D17/D6,0)</f>
        <v>11.9846419279504</v>
      </c>
      <c r="F22" s="12" t="s">
        <v>119</v>
      </c>
    </row>
    <row r="24" customFormat="false" ht="15" hidden="false" customHeight="false" outlineLevel="0" collapsed="false">
      <c r="A24" s="9" t="s">
        <v>120</v>
      </c>
      <c r="B24" s="10"/>
      <c r="C24" s="10"/>
      <c r="D24" s="10"/>
      <c r="E24" s="10"/>
      <c r="F24" s="10"/>
    </row>
    <row r="25" customFormat="false" ht="30" hidden="false" customHeight="true" outlineLevel="0" collapsed="false">
      <c r="A25" s="3" t="s">
        <v>121</v>
      </c>
      <c r="B25" s="3" t="s">
        <v>122</v>
      </c>
      <c r="C25" s="3"/>
      <c r="D25" s="3"/>
      <c r="E25" s="3"/>
      <c r="F25" s="3" t="s">
        <v>123</v>
      </c>
    </row>
    <row r="26" customFormat="false" ht="15" hidden="false" customHeight="false" outlineLevel="0" collapsed="false">
      <c r="A26" s="26" t="s">
        <v>124</v>
      </c>
      <c r="B26" s="27" t="n">
        <f aca="false">ROUNDUP('Cash Reserve'!$B$10/5,0)</f>
        <v>436</v>
      </c>
      <c r="C26" s="28"/>
      <c r="D26" s="28"/>
      <c r="E26" s="28"/>
      <c r="F26" s="29" t="s">
        <v>125</v>
      </c>
    </row>
    <row r="27" customFormat="false" ht="15" hidden="false" customHeight="false" outlineLevel="0" collapsed="false">
      <c r="A27" s="26" t="s">
        <v>126</v>
      </c>
      <c r="B27" s="27" t="n">
        <f aca="false">ROUNDUP('Cash Reserve'!$B$10/20,0)</f>
        <v>109</v>
      </c>
      <c r="C27" s="28"/>
      <c r="D27" s="28"/>
      <c r="E27" s="28"/>
      <c r="F27" s="29" t="s">
        <v>127</v>
      </c>
    </row>
    <row r="28" customFormat="false" ht="15" hidden="false" customHeight="false" outlineLevel="0" collapsed="false">
      <c r="A28" s="26" t="s">
        <v>128</v>
      </c>
      <c r="B28" s="27" t="n">
        <f aca="false">ROUNDUP('Cash Reserve'!$B$10/(0.25*5+0.08*20),0)</f>
        <v>764</v>
      </c>
      <c r="C28" s="28"/>
      <c r="D28" s="28"/>
      <c r="E28" s="28"/>
      <c r="F28" s="29" t="s">
        <v>129</v>
      </c>
    </row>
    <row r="29" customFormat="false" ht="15" hidden="false" customHeight="false" outlineLevel="0" collapsed="false">
      <c r="A29" s="26" t="s">
        <v>130</v>
      </c>
      <c r="B29" s="27" t="n">
        <f aca="false">ROUNDUP('Cash Reserve'!$B$10/(0.25*5+0.08*20)/60,1)</f>
        <v>12.8</v>
      </c>
      <c r="C29" s="28"/>
      <c r="D29" s="28"/>
      <c r="E29" s="28"/>
      <c r="F29" s="29" t="s">
        <v>131</v>
      </c>
    </row>
    <row r="30" customFormat="false" ht="19.4" hidden="false" customHeight="false" outlineLevel="0" collapsed="false">
      <c r="A30" s="2" t="s">
        <v>132</v>
      </c>
      <c r="B30" s="30" t="n">
        <v>131</v>
      </c>
      <c r="F30" s="12" t="s">
        <v>133</v>
      </c>
    </row>
    <row r="32" customFormat="false" ht="15" hidden="false" customHeight="false" outlineLevel="0" collapsed="false">
      <c r="A32" s="9" t="s">
        <v>134</v>
      </c>
      <c r="B32" s="10"/>
      <c r="C32" s="10"/>
      <c r="D32" s="10"/>
      <c r="E32" s="10"/>
      <c r="F32" s="10"/>
    </row>
    <row r="33" customFormat="false" ht="30" hidden="false" customHeight="true" outlineLevel="0" collapsed="false">
      <c r="A33" s="3" t="s">
        <v>135</v>
      </c>
      <c r="B33" s="3" t="s">
        <v>136</v>
      </c>
      <c r="C33" s="3"/>
      <c r="D33" s="3"/>
      <c r="E33" s="3"/>
      <c r="F33" s="3" t="s">
        <v>86</v>
      </c>
    </row>
    <row r="34" customFormat="false" ht="15" hidden="false" customHeight="false" outlineLevel="0" collapsed="false">
      <c r="A34" s="26" t="s">
        <v>137</v>
      </c>
      <c r="B34" s="31" t="n">
        <f aca="false">-MIN(0,MIN('Year 1 Cash Flow Rev C'!$B$20:$M$20))</f>
        <v>5361.40204867692</v>
      </c>
      <c r="C34" s="28"/>
      <c r="D34" s="28"/>
      <c r="E34" s="28"/>
      <c r="F34" s="32" t="s">
        <v>138</v>
      </c>
    </row>
    <row r="35" customFormat="false" ht="19.4" hidden="false" customHeight="false" outlineLevel="0" collapsed="false">
      <c r="A35" s="26" t="s">
        <v>139</v>
      </c>
      <c r="B35" s="33" t="n">
        <f aca="false">IF('Year 1 Cash Flow Rev C'!$N$32=99,"not in Year 1",'Year 1 Cash Flow Rev C'!$N$32)</f>
        <v>7</v>
      </c>
      <c r="C35" s="28"/>
      <c r="D35" s="28"/>
      <c r="E35" s="28"/>
      <c r="F35" s="32" t="s">
        <v>140</v>
      </c>
    </row>
    <row r="36" customFormat="false" ht="15" hidden="false" customHeight="false" outlineLevel="0" collapsed="false">
      <c r="A36" s="26" t="s">
        <v>141</v>
      </c>
      <c r="B36" s="31" t="n">
        <f aca="false">'Cash Reserve'!$B$22</f>
        <v>16400</v>
      </c>
      <c r="C36" s="28"/>
      <c r="D36" s="28"/>
      <c r="E36" s="28"/>
      <c r="F36" s="32" t="s">
        <v>142</v>
      </c>
    </row>
    <row r="37" customFormat="false" ht="19.4" hidden="false" customHeight="false" outlineLevel="0" collapsed="false">
      <c r="A37" s="26" t="s">
        <v>143</v>
      </c>
      <c r="B37" s="31" t="n">
        <f aca="false">'Year 1 Cash Flow Rev C'!$N$19</f>
        <v>199418.866612865</v>
      </c>
      <c r="C37" s="28"/>
      <c r="D37" s="28"/>
      <c r="E37" s="28"/>
      <c r="F37" s="32" t="s">
        <v>144</v>
      </c>
    </row>
    <row r="39" customFormat="false" ht="15" hidden="false" customHeight="false" outlineLevel="0" collapsed="false">
      <c r="A39" s="9" t="s">
        <v>145</v>
      </c>
      <c r="B39" s="10"/>
      <c r="C39" s="10"/>
      <c r="D39" s="10"/>
      <c r="E39" s="10"/>
      <c r="F39" s="10"/>
    </row>
    <row r="40" customFormat="false" ht="30" hidden="false" customHeight="true" outlineLevel="0" collapsed="false">
      <c r="A40" s="3" t="s">
        <v>146</v>
      </c>
      <c r="B40" s="3" t="s">
        <v>147</v>
      </c>
      <c r="C40" s="3" t="s">
        <v>148</v>
      </c>
      <c r="D40" s="3" t="s">
        <v>149</v>
      </c>
      <c r="E40" s="3" t="s">
        <v>150</v>
      </c>
      <c r="F40" s="3" t="s">
        <v>151</v>
      </c>
    </row>
    <row r="41" customFormat="false" ht="33.75" hidden="false" customHeight="true" outlineLevel="0" collapsed="false">
      <c r="A41" s="34" t="s">
        <v>152</v>
      </c>
      <c r="B41" s="35" t="n">
        <f aca="false">B8</f>
        <v>235154</v>
      </c>
      <c r="C41" s="35" t="n">
        <f aca="false">B17</f>
        <v>35735.1333871348</v>
      </c>
      <c r="D41" s="36" t="n">
        <f aca="false">B41-C41</f>
        <v>199418.866612865</v>
      </c>
      <c r="E41" s="37" t="n">
        <f aca="false">IFERROR(D41/B41,0)</f>
        <v>0.848035188059167</v>
      </c>
      <c r="F41" s="32" t="s">
        <v>153</v>
      </c>
    </row>
    <row r="42" customFormat="false" ht="33.75" hidden="false" customHeight="true" outlineLevel="0" collapsed="false">
      <c r="A42" s="26" t="s">
        <v>154</v>
      </c>
      <c r="B42" s="35" t="n">
        <f aca="false">B8*0.5</f>
        <v>117577</v>
      </c>
      <c r="C42" s="35" t="n">
        <f aca="false">B17-B8*'Assumptions Rev C'!$B$54*0.5</f>
        <v>31256.518568953</v>
      </c>
      <c r="D42" s="36" t="n">
        <f aca="false">B42-C42</f>
        <v>86320.4814310471</v>
      </c>
      <c r="E42" s="37" t="n">
        <f aca="false">IFERROR(D42/B42,0)</f>
        <v>0.734161285209242</v>
      </c>
      <c r="F42" s="32" t="s">
        <v>155</v>
      </c>
    </row>
    <row r="43" customFormat="false" ht="33.75" hidden="false" customHeight="true" outlineLevel="0" collapsed="false">
      <c r="A43" s="26" t="s">
        <v>156</v>
      </c>
      <c r="B43" s="35" t="n">
        <f aca="false">B8*0.25</f>
        <v>58788.5</v>
      </c>
      <c r="C43" s="35" t="n">
        <f aca="false">B17-B8*'Assumptions Rev C'!$B$54*0.75</f>
        <v>29017.211159862</v>
      </c>
      <c r="D43" s="36" t="n">
        <f aca="false">B43-C43</f>
        <v>29771.288840138</v>
      </c>
      <c r="E43" s="37" t="n">
        <f aca="false">IFERROR(D43/B43,0)</f>
        <v>0.506413479509393</v>
      </c>
      <c r="F43" s="32" t="s">
        <v>157</v>
      </c>
    </row>
    <row r="44" customFormat="false" ht="33.75" hidden="false" customHeight="true" outlineLevel="0" collapsed="false">
      <c r="A44" s="26" t="s">
        <v>158</v>
      </c>
      <c r="B44" s="35" t="n">
        <f aca="false">B8</f>
        <v>235154</v>
      </c>
      <c r="C44" s="35" t="n">
        <f aca="false">B17-'Assumptions Rev C'!$B$44*6</f>
        <v>25594.7262310583</v>
      </c>
      <c r="D44" s="36" t="n">
        <f aca="false">B44-C44</f>
        <v>209559.273768942</v>
      </c>
      <c r="E44" s="37" t="n">
        <f aca="false">IFERROR(D44/B44,0)</f>
        <v>0.891157597867533</v>
      </c>
      <c r="F44" s="32" t="s">
        <v>159</v>
      </c>
    </row>
    <row r="45" customFormat="false" ht="33.75" hidden="false" customHeight="true" outlineLevel="0" collapsed="false">
      <c r="A45" s="26" t="s">
        <v>160</v>
      </c>
      <c r="B45" s="35" t="n">
        <f aca="false">B8</f>
        <v>235154</v>
      </c>
      <c r="C45" s="35" t="n">
        <f aca="false">B17-'Assumptions Rev C'!$B$44*12-'Assumptions Rev C'!$B$49*12</f>
        <v>13603.6096363636</v>
      </c>
      <c r="D45" s="36" t="n">
        <f aca="false">B45-C45</f>
        <v>221550.390363636</v>
      </c>
      <c r="E45" s="37" t="n">
        <f aca="false">IFERROR(D45/B45,0)</f>
        <v>0.942150209495209</v>
      </c>
      <c r="F45" s="32" t="s">
        <v>161</v>
      </c>
    </row>
    <row r="46" customFormat="false" ht="33.75" hidden="false" customHeight="true" outlineLevel="0" collapsed="false">
      <c r="A46" s="26" t="s">
        <v>162</v>
      </c>
      <c r="B46" s="35" t="n">
        <f aca="false">B8</f>
        <v>235154</v>
      </c>
      <c r="C46" s="35" t="n">
        <f aca="false">B17+('Assumptions Rev C'!$B$17-'Assumptions Rev C'!$B$16)*'Assumptions Rev C'!$B$7*12</f>
        <v>36013.1973871348</v>
      </c>
      <c r="D46" s="36" t="n">
        <f aca="false">B46-C46</f>
        <v>199140.802612865</v>
      </c>
      <c r="E46" s="37" t="n">
        <f aca="false">IFERROR(D46/B46,0)</f>
        <v>0.84685271189461</v>
      </c>
      <c r="F46" s="32" t="s">
        <v>163</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74"/>
  </cols>
  <sheetData>
    <row r="1" customFormat="false" ht="21.75" hidden="false" customHeight="true" outlineLevel="0" collapsed="false">
      <c r="A1" s="1" t="s">
        <v>164</v>
      </c>
      <c r="B1" s="1"/>
      <c r="C1" s="1"/>
      <c r="D1" s="1"/>
    </row>
    <row r="2" customFormat="false" ht="19.4" hidden="false" customHeight="false" outlineLevel="0" collapsed="false">
      <c r="A2" s="17" t="s">
        <v>165</v>
      </c>
      <c r="B2" s="38" t="s">
        <v>166</v>
      </c>
      <c r="C2" s="2" t="s">
        <v>167</v>
      </c>
      <c r="D2" s="39" t="s">
        <v>168</v>
      </c>
    </row>
    <row r="4" customFormat="false" ht="30" hidden="false" customHeight="true" outlineLevel="0" collapsed="false">
      <c r="A4" s="3" t="s">
        <v>169</v>
      </c>
      <c r="B4" s="3" t="s">
        <v>170</v>
      </c>
      <c r="C4" s="3" t="s">
        <v>171</v>
      </c>
      <c r="D4" s="3" t="s">
        <v>172</v>
      </c>
    </row>
    <row r="5" customFormat="false" ht="15" hidden="false" customHeight="false" outlineLevel="0" collapsed="false">
      <c r="A5" s="9" t="s">
        <v>173</v>
      </c>
      <c r="B5" s="10"/>
      <c r="C5" s="10"/>
      <c r="D5" s="10"/>
    </row>
    <row r="6" customFormat="false" ht="19.4" hidden="false" customHeight="false" outlineLevel="0" collapsed="false">
      <c r="A6" s="5" t="s">
        <v>174</v>
      </c>
      <c r="B6" s="40" t="n">
        <v>16.21</v>
      </c>
      <c r="C6" s="5" t="s">
        <v>175</v>
      </c>
      <c r="D6" s="32" t="s">
        <v>176</v>
      </c>
    </row>
    <row r="7" customFormat="false" ht="15" hidden="false" customHeight="false" outlineLevel="0" collapsed="false">
      <c r="A7" s="5" t="s">
        <v>177</v>
      </c>
      <c r="B7" s="41" t="n">
        <v>1.1586</v>
      </c>
      <c r="C7" s="5" t="s">
        <v>178</v>
      </c>
      <c r="D7" s="32" t="s">
        <v>179</v>
      </c>
    </row>
    <row r="8" customFormat="false" ht="15" hidden="false" customHeight="false" outlineLevel="0" collapsed="false">
      <c r="A8" s="9" t="s">
        <v>180</v>
      </c>
      <c r="B8" s="10"/>
      <c r="C8" s="10"/>
      <c r="D8" s="10"/>
    </row>
    <row r="9" customFormat="false" ht="15" hidden="false" customHeight="false" outlineLevel="0" collapsed="false">
      <c r="A9" s="5" t="s">
        <v>181</v>
      </c>
      <c r="B9" s="42" t="n">
        <v>7790</v>
      </c>
      <c r="C9" s="5" t="s">
        <v>182</v>
      </c>
      <c r="D9" s="32" t="s">
        <v>183</v>
      </c>
    </row>
    <row r="10" customFormat="false" ht="19.4" hidden="false" customHeight="false" outlineLevel="0" collapsed="false">
      <c r="A10" s="5" t="s">
        <v>184</v>
      </c>
      <c r="B10" s="42" t="n">
        <v>4368</v>
      </c>
      <c r="C10" s="5" t="s">
        <v>182</v>
      </c>
      <c r="D10" s="32" t="s">
        <v>185</v>
      </c>
    </row>
    <row r="11" customFormat="false" ht="15" hidden="false" customHeight="false" outlineLevel="0" collapsed="false">
      <c r="A11" s="5" t="s">
        <v>186</v>
      </c>
      <c r="B11" s="42" t="n">
        <v>16872</v>
      </c>
      <c r="C11" s="5" t="s">
        <v>182</v>
      </c>
      <c r="D11" s="32" t="s">
        <v>187</v>
      </c>
    </row>
    <row r="12" customFormat="false" ht="15" hidden="false" customHeight="false" outlineLevel="0" collapsed="false">
      <c r="A12" s="5" t="s">
        <v>188</v>
      </c>
      <c r="B12" s="43" t="n">
        <v>235154</v>
      </c>
      <c r="C12" s="5" t="s">
        <v>136</v>
      </c>
      <c r="D12" s="32" t="s">
        <v>189</v>
      </c>
    </row>
    <row r="13" customFormat="false" ht="15" hidden="false" customHeight="false" outlineLevel="0" collapsed="false">
      <c r="A13" s="5" t="s">
        <v>190</v>
      </c>
      <c r="B13" s="43" t="n">
        <v>691173</v>
      </c>
      <c r="C13" s="5" t="s">
        <v>136</v>
      </c>
      <c r="D13" s="32" t="s">
        <v>187</v>
      </c>
    </row>
    <row r="14" customFormat="false" ht="15" hidden="false" customHeight="false" outlineLevel="0" collapsed="false">
      <c r="A14" s="5" t="s">
        <v>191</v>
      </c>
      <c r="B14" s="43" t="n">
        <v>3995294</v>
      </c>
      <c r="C14" s="5" t="s">
        <v>136</v>
      </c>
      <c r="D14" s="32" t="s">
        <v>187</v>
      </c>
    </row>
    <row r="15" customFormat="false" ht="15" hidden="false" customHeight="false" outlineLevel="0" collapsed="false">
      <c r="A15" s="9" t="s">
        <v>192</v>
      </c>
      <c r="B15" s="10"/>
      <c r="C15" s="10"/>
      <c r="D15" s="10"/>
    </row>
    <row r="16" customFormat="false" ht="19.4" hidden="false" customHeight="false" outlineLevel="0" collapsed="false">
      <c r="A16" s="5" t="s">
        <v>193</v>
      </c>
      <c r="B16" s="44" t="n">
        <v>15.49</v>
      </c>
      <c r="C16" s="5" t="s">
        <v>194</v>
      </c>
      <c r="D16" s="32" t="s">
        <v>195</v>
      </c>
    </row>
    <row r="17" customFormat="false" ht="19.4" hidden="false" customHeight="false" outlineLevel="0" collapsed="false">
      <c r="A17" s="5" t="s">
        <v>196</v>
      </c>
      <c r="B17" s="45" t="n">
        <v>35.49</v>
      </c>
      <c r="C17" s="5" t="s">
        <v>194</v>
      </c>
      <c r="D17" s="32" t="s">
        <v>197</v>
      </c>
    </row>
    <row r="18" customFormat="false" ht="19.4" hidden="false" customHeight="false" outlineLevel="0" collapsed="false">
      <c r="A18" s="5" t="s">
        <v>198</v>
      </c>
      <c r="B18" s="44" t="n">
        <v>15.99</v>
      </c>
      <c r="C18" s="5" t="s">
        <v>194</v>
      </c>
      <c r="D18" s="32" t="s">
        <v>199</v>
      </c>
    </row>
    <row r="19" customFormat="false" ht="15" hidden="false" customHeight="false" outlineLevel="0" collapsed="false">
      <c r="A19" s="5" t="s">
        <v>200</v>
      </c>
      <c r="B19" s="44" t="n">
        <v>5.72</v>
      </c>
      <c r="C19" s="5" t="s">
        <v>194</v>
      </c>
      <c r="D19" s="32" t="s">
        <v>201</v>
      </c>
    </row>
    <row r="20" customFormat="false" ht="15" hidden="false" customHeight="false" outlineLevel="0" collapsed="false">
      <c r="A20" s="5" t="s">
        <v>202</v>
      </c>
      <c r="B20" s="44" t="n">
        <v>5.99</v>
      </c>
      <c r="C20" s="5" t="s">
        <v>194</v>
      </c>
      <c r="D20" s="32" t="s">
        <v>203</v>
      </c>
    </row>
    <row r="21" customFormat="false" ht="19.4" hidden="false" customHeight="false" outlineLevel="0" collapsed="false">
      <c r="A21" s="5" t="s">
        <v>204</v>
      </c>
      <c r="B21" s="44" t="n">
        <v>3.8</v>
      </c>
      <c r="C21" s="5" t="s">
        <v>194</v>
      </c>
      <c r="D21" s="32" t="s">
        <v>205</v>
      </c>
    </row>
    <row r="22" customFormat="false" ht="19.4" hidden="false" customHeight="false" outlineLevel="0" collapsed="false">
      <c r="A22" s="5" t="s">
        <v>206</v>
      </c>
      <c r="B22" s="46" t="n">
        <v>32</v>
      </c>
      <c r="C22" s="5" t="s">
        <v>207</v>
      </c>
      <c r="D22" s="32" t="s">
        <v>208</v>
      </c>
    </row>
    <row r="23" customFormat="false" ht="15" hidden="false" customHeight="false" outlineLevel="0" collapsed="false">
      <c r="A23" s="9" t="s">
        <v>209</v>
      </c>
      <c r="B23" s="10"/>
      <c r="C23" s="10"/>
      <c r="D23" s="10"/>
    </row>
    <row r="24" customFormat="false" ht="19.4" hidden="false" customHeight="false" outlineLevel="0" collapsed="false">
      <c r="A24" s="5" t="s">
        <v>210</v>
      </c>
      <c r="B24" s="47" t="s">
        <v>211</v>
      </c>
      <c r="C24" s="5" t="s">
        <v>212</v>
      </c>
      <c r="D24" s="32" t="s">
        <v>213</v>
      </c>
    </row>
    <row r="25" customFormat="false" ht="28.35" hidden="false" customHeight="false" outlineLevel="0" collapsed="false">
      <c r="A25" s="5" t="s">
        <v>214</v>
      </c>
      <c r="B25" s="42" t="n">
        <v>7</v>
      </c>
      <c r="C25" s="5" t="s">
        <v>215</v>
      </c>
      <c r="D25" s="32" t="s">
        <v>216</v>
      </c>
    </row>
    <row r="26" customFormat="false" ht="19.4" hidden="false" customHeight="false" outlineLevel="0" collapsed="false">
      <c r="A26" s="5" t="s">
        <v>217</v>
      </c>
      <c r="B26" s="48" t="n">
        <v>22.23</v>
      </c>
      <c r="C26" s="5" t="s">
        <v>207</v>
      </c>
      <c r="D26" s="32" t="s">
        <v>218</v>
      </c>
    </row>
    <row r="27" customFormat="false" ht="15" hidden="false" customHeight="false" outlineLevel="0" collapsed="false">
      <c r="A27" s="9" t="s">
        <v>219</v>
      </c>
      <c r="B27" s="10"/>
      <c r="C27" s="10"/>
      <c r="D27" s="10"/>
    </row>
    <row r="28" customFormat="false" ht="19.4" hidden="false" customHeight="false" outlineLevel="0" collapsed="false">
      <c r="A28" s="5" t="s">
        <v>220</v>
      </c>
      <c r="B28" s="48" t="n">
        <v>230</v>
      </c>
      <c r="C28" s="5" t="s">
        <v>207</v>
      </c>
      <c r="D28" s="32" t="s">
        <v>221</v>
      </c>
    </row>
    <row r="29" customFormat="false" ht="15" hidden="false" customHeight="false" outlineLevel="0" collapsed="false">
      <c r="A29" s="5" t="s">
        <v>222</v>
      </c>
      <c r="B29" s="48" t="n">
        <v>44.85</v>
      </c>
      <c r="C29" s="5" t="s">
        <v>207</v>
      </c>
      <c r="D29" s="32" t="s">
        <v>223</v>
      </c>
    </row>
    <row r="30" customFormat="false" ht="19.4" hidden="false" customHeight="false" outlineLevel="0" collapsed="false">
      <c r="A30" s="5" t="s">
        <v>224</v>
      </c>
      <c r="B30" s="46" t="n">
        <v>40</v>
      </c>
      <c r="C30" s="5" t="s">
        <v>225</v>
      </c>
      <c r="D30" s="32" t="s">
        <v>226</v>
      </c>
    </row>
    <row r="31" customFormat="false" ht="19.4" hidden="false" customHeight="false" outlineLevel="0" collapsed="false">
      <c r="A31" s="5" t="s">
        <v>227</v>
      </c>
      <c r="B31" s="42" t="n">
        <v>7</v>
      </c>
      <c r="C31" s="5" t="s">
        <v>182</v>
      </c>
      <c r="D31" s="32" t="s">
        <v>228</v>
      </c>
    </row>
    <row r="32" customFormat="false" ht="15" hidden="false" customHeight="false" outlineLevel="0" collapsed="false">
      <c r="A32" s="4" t="s">
        <v>229</v>
      </c>
      <c r="B32" s="49" t="n">
        <f aca="false">'Assumptions Rev C'!$B$30*'Assumptions Rev C'!$B$31</f>
        <v>280</v>
      </c>
      <c r="C32" s="5" t="s">
        <v>225</v>
      </c>
      <c r="D32" s="32" t="s">
        <v>230</v>
      </c>
    </row>
    <row r="33" customFormat="false" ht="15" hidden="false" customHeight="false" outlineLevel="0" collapsed="false">
      <c r="A33" s="5" t="s">
        <v>231</v>
      </c>
      <c r="B33" s="42" t="n">
        <v>0</v>
      </c>
      <c r="C33" s="5" t="s">
        <v>232</v>
      </c>
      <c r="D33" s="32" t="s">
        <v>233</v>
      </c>
    </row>
    <row r="34" customFormat="false" ht="19.4" hidden="false" customHeight="false" outlineLevel="0" collapsed="false">
      <c r="A34" s="5" t="s">
        <v>234</v>
      </c>
      <c r="B34" s="50" t="n">
        <v>0.72</v>
      </c>
      <c r="C34" s="5" t="s">
        <v>235</v>
      </c>
      <c r="D34" s="32" t="s">
        <v>236</v>
      </c>
    </row>
    <row r="35" customFormat="false" ht="19.4" hidden="false" customHeight="false" outlineLevel="0" collapsed="false">
      <c r="A35" s="5" t="s">
        <v>237</v>
      </c>
      <c r="B35" s="50" t="n">
        <v>0.4</v>
      </c>
      <c r="C35" s="5" t="s">
        <v>235</v>
      </c>
      <c r="D35" s="32" t="s">
        <v>238</v>
      </c>
    </row>
    <row r="36" customFormat="false" ht="15" hidden="false" customHeight="false" outlineLevel="0" collapsed="false">
      <c r="A36" s="9" t="s">
        <v>239</v>
      </c>
      <c r="B36" s="10"/>
      <c r="C36" s="10"/>
      <c r="D36" s="10"/>
    </row>
    <row r="37" customFormat="false" ht="15" hidden="false" customHeight="false" outlineLevel="0" collapsed="false">
      <c r="A37" s="5" t="s">
        <v>240</v>
      </c>
      <c r="B37" s="42" t="n">
        <v>3</v>
      </c>
      <c r="C37" s="5" t="s">
        <v>241</v>
      </c>
      <c r="D37" s="32" t="s">
        <v>242</v>
      </c>
    </row>
    <row r="38" customFormat="false" ht="15" hidden="false" customHeight="false" outlineLevel="0" collapsed="false">
      <c r="A38" s="5" t="s">
        <v>243</v>
      </c>
      <c r="B38" s="42" t="n">
        <v>2</v>
      </c>
      <c r="C38" s="5" t="s">
        <v>244</v>
      </c>
      <c r="D38" s="32" t="s">
        <v>245</v>
      </c>
    </row>
    <row r="39" customFormat="false" ht="19.4" hidden="false" customHeight="false" outlineLevel="0" collapsed="false">
      <c r="A39" s="5" t="s">
        <v>246</v>
      </c>
      <c r="B39" s="40" t="n">
        <v>30.44</v>
      </c>
      <c r="C39" s="5" t="s">
        <v>247</v>
      </c>
      <c r="D39" s="32" t="s">
        <v>248</v>
      </c>
    </row>
    <row r="40" customFormat="false" ht="19.4" hidden="false" customHeight="false" outlineLevel="0" collapsed="false">
      <c r="A40" s="5" t="s">
        <v>249</v>
      </c>
      <c r="B40" s="51" t="n">
        <v>150</v>
      </c>
      <c r="C40" s="5" t="s">
        <v>250</v>
      </c>
      <c r="D40" s="32" t="s">
        <v>251</v>
      </c>
    </row>
    <row r="41" customFormat="false" ht="15" hidden="false" customHeight="false" outlineLevel="0" collapsed="false">
      <c r="A41" s="5" t="s">
        <v>252</v>
      </c>
      <c r="B41" s="42" t="n">
        <v>1</v>
      </c>
      <c r="C41" s="5" t="s">
        <v>215</v>
      </c>
      <c r="D41" s="32" t="s">
        <v>253</v>
      </c>
    </row>
    <row r="42" customFormat="false" ht="15" hidden="false" customHeight="false" outlineLevel="0" collapsed="false">
      <c r="A42" s="5" t="s">
        <v>254</v>
      </c>
      <c r="B42" s="52" t="n">
        <f aca="false">'Assumptions Rev C'!$B$37*'Assumptions Rev C'!$B$38*'Assumptions Rev C'!$B$39</f>
        <v>182.64</v>
      </c>
      <c r="C42" s="5" t="s">
        <v>255</v>
      </c>
      <c r="D42" s="32"/>
    </row>
    <row r="43" customFormat="false" ht="15" hidden="false" customHeight="false" outlineLevel="0" collapsed="false">
      <c r="A43" s="4" t="s">
        <v>256</v>
      </c>
      <c r="B43" s="53" t="n">
        <f aca="false">'Assumptions Rev C'!$B$42*'Assumptions Rev C'!$B$40</f>
        <v>27396</v>
      </c>
      <c r="C43" s="5" t="s">
        <v>257</v>
      </c>
      <c r="D43" s="32"/>
    </row>
    <row r="44" customFormat="false" ht="15" hidden="false" customHeight="false" outlineLevel="0" collapsed="false">
      <c r="A44" s="4" t="s">
        <v>256</v>
      </c>
      <c r="B44" s="49" t="n">
        <f aca="false">'Assumptions Rev C'!$B$43/'Assumptions Rev C'!$B$6</f>
        <v>1690.06785934608</v>
      </c>
      <c r="C44" s="5" t="s">
        <v>207</v>
      </c>
      <c r="D44" s="32"/>
    </row>
    <row r="45" customFormat="false" ht="15" hidden="false" customHeight="false" outlineLevel="0" collapsed="false">
      <c r="A45" s="9" t="s">
        <v>258</v>
      </c>
      <c r="B45" s="10"/>
      <c r="C45" s="10"/>
      <c r="D45" s="10"/>
    </row>
    <row r="46" customFormat="false" ht="15" hidden="false" customHeight="false" outlineLevel="0" collapsed="false">
      <c r="A46" s="5" t="s">
        <v>259</v>
      </c>
      <c r="B46" s="54" t="n">
        <v>2000</v>
      </c>
      <c r="C46" s="5" t="s">
        <v>257</v>
      </c>
      <c r="D46" s="32" t="s">
        <v>260</v>
      </c>
    </row>
    <row r="47" customFormat="false" ht="15" hidden="false" customHeight="false" outlineLevel="0" collapsed="false">
      <c r="A47" s="5" t="s">
        <v>261</v>
      </c>
      <c r="B47" s="54" t="n">
        <v>500</v>
      </c>
      <c r="C47" s="5" t="s">
        <v>257</v>
      </c>
      <c r="D47" s="32" t="s">
        <v>262</v>
      </c>
    </row>
    <row r="48" customFormat="false" ht="28.35" hidden="false" customHeight="false" outlineLevel="0" collapsed="false">
      <c r="A48" s="5" t="s">
        <v>263</v>
      </c>
      <c r="B48" s="42" t="n">
        <v>1</v>
      </c>
      <c r="C48" s="5" t="s">
        <v>215</v>
      </c>
      <c r="D48" s="32" t="s">
        <v>264</v>
      </c>
    </row>
    <row r="49" customFormat="false" ht="15" hidden="false" customHeight="false" outlineLevel="0" collapsed="false">
      <c r="A49" s="4" t="s">
        <v>265</v>
      </c>
      <c r="B49" s="49" t="n">
        <f aca="false">('Assumptions Rev C'!$B$46+'Assumptions Rev C'!$B$47)/'Assumptions Rev C'!$B$6</f>
        <v>154.225786551511</v>
      </c>
      <c r="C49" s="5" t="s">
        <v>207</v>
      </c>
      <c r="D49" s="32"/>
    </row>
    <row r="50" customFormat="false" ht="15" hidden="false" customHeight="false" outlineLevel="0" collapsed="false">
      <c r="A50" s="9" t="s">
        <v>266</v>
      </c>
      <c r="B50" s="10"/>
      <c r="C50" s="10"/>
      <c r="D50" s="10"/>
    </row>
    <row r="51" customFormat="false" ht="15" hidden="false" customHeight="false" outlineLevel="0" collapsed="false">
      <c r="A51" s="5" t="s">
        <v>267</v>
      </c>
      <c r="B51" s="55" t="n">
        <v>0.029</v>
      </c>
      <c r="C51" s="5" t="s">
        <v>268</v>
      </c>
      <c r="D51" s="32" t="s">
        <v>269</v>
      </c>
    </row>
    <row r="52" customFormat="false" ht="15" hidden="false" customHeight="false" outlineLevel="0" collapsed="false">
      <c r="A52" s="5" t="s">
        <v>270</v>
      </c>
      <c r="B52" s="54" t="n">
        <v>1</v>
      </c>
      <c r="C52" s="5" t="s">
        <v>271</v>
      </c>
      <c r="D52" s="32" t="s">
        <v>272</v>
      </c>
    </row>
    <row r="53" customFormat="false" ht="19.4" hidden="false" customHeight="false" outlineLevel="0" collapsed="false">
      <c r="A53" s="5" t="s">
        <v>273</v>
      </c>
      <c r="B53" s="51" t="n">
        <v>110</v>
      </c>
      <c r="C53" s="5" t="s">
        <v>274</v>
      </c>
      <c r="D53" s="32" t="s">
        <v>275</v>
      </c>
    </row>
    <row r="54" customFormat="false" ht="15" hidden="false" customHeight="false" outlineLevel="0" collapsed="false">
      <c r="A54" s="4" t="s">
        <v>276</v>
      </c>
      <c r="B54" s="56" t="n">
        <f aca="false">'Assumptions Rev C'!$B$51+'Assumptions Rev C'!$B$52/'Assumptions Rev C'!$B$53</f>
        <v>0.0380909090909091</v>
      </c>
      <c r="C54" s="5" t="s">
        <v>268</v>
      </c>
      <c r="D54" s="32"/>
    </row>
    <row r="55" customFormat="false" ht="15" hidden="false" customHeight="false" outlineLevel="0" collapsed="false">
      <c r="A55" s="9" t="s">
        <v>277</v>
      </c>
      <c r="B55" s="10"/>
      <c r="C55" s="10"/>
      <c r="D55" s="10"/>
    </row>
    <row r="56" customFormat="false" ht="19.4" hidden="false" customHeight="false" outlineLevel="0" collapsed="false">
      <c r="A56" s="5" t="s">
        <v>278</v>
      </c>
      <c r="B56" s="57" t="n">
        <v>6</v>
      </c>
      <c r="C56" s="5" t="s">
        <v>279</v>
      </c>
      <c r="D56" s="32" t="s">
        <v>280</v>
      </c>
    </row>
    <row r="57" customFormat="false" ht="15" hidden="false" customHeight="false" outlineLevel="0" collapsed="false">
      <c r="A57" s="5" t="s">
        <v>281</v>
      </c>
      <c r="B57" s="50" t="n">
        <v>1.25</v>
      </c>
      <c r="C57" s="5" t="s">
        <v>235</v>
      </c>
      <c r="D57" s="32" t="s">
        <v>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2" min="2" style="0" width="15"/>
    <col collapsed="false" customWidth="true" hidden="false" outlineLevel="0" max="3" min="3" style="0" width="34"/>
    <col collapsed="false" customWidth="true" hidden="false" outlineLevel="0" max="6" min="4" style="0" width="13"/>
    <col collapsed="false" customWidth="true" hidden="false" outlineLevel="0" max="7" min="7" style="0" width="58"/>
  </cols>
  <sheetData>
    <row r="1" customFormat="false" ht="21.75" hidden="false" customHeight="true" outlineLevel="0" collapsed="false">
      <c r="A1" s="1" t="s">
        <v>283</v>
      </c>
      <c r="B1" s="1"/>
      <c r="C1" s="1"/>
      <c r="D1" s="1"/>
      <c r="E1" s="1"/>
      <c r="F1" s="1"/>
      <c r="G1" s="1"/>
    </row>
    <row r="2" customFormat="false" ht="42" hidden="false" customHeight="true" outlineLevel="0" collapsed="false">
      <c r="A2" s="39" t="s">
        <v>284</v>
      </c>
    </row>
    <row r="4" customFormat="false" ht="30" hidden="false" customHeight="true" outlineLevel="0" collapsed="false">
      <c r="A4" s="3" t="s">
        <v>285</v>
      </c>
      <c r="B4" s="3" t="s">
        <v>286</v>
      </c>
      <c r="C4" s="3" t="s">
        <v>287</v>
      </c>
      <c r="D4" s="3" t="s">
        <v>288</v>
      </c>
      <c r="E4" s="3" t="s">
        <v>289</v>
      </c>
      <c r="F4" s="3" t="s">
        <v>290</v>
      </c>
      <c r="G4" s="3" t="s">
        <v>291</v>
      </c>
    </row>
    <row r="5" customFormat="false" ht="30" hidden="false" customHeight="true" outlineLevel="0" collapsed="false">
      <c r="A5" s="4" t="s">
        <v>292</v>
      </c>
      <c r="B5" s="26" t="s">
        <v>293</v>
      </c>
      <c r="C5" s="5" t="s">
        <v>294</v>
      </c>
      <c r="D5" s="58" t="s">
        <v>295</v>
      </c>
      <c r="E5" s="59" t="n">
        <v>230</v>
      </c>
      <c r="F5" s="60" t="n">
        <f aca="false">E5*12</f>
        <v>2760</v>
      </c>
      <c r="G5" s="32" t="s">
        <v>296</v>
      </c>
    </row>
    <row r="6" customFormat="false" ht="30" hidden="false" customHeight="true" outlineLevel="0" collapsed="false">
      <c r="A6" s="4" t="s">
        <v>297</v>
      </c>
      <c r="B6" s="26" t="s">
        <v>293</v>
      </c>
      <c r="C6" s="5" t="s">
        <v>298</v>
      </c>
      <c r="D6" s="58" t="s">
        <v>295</v>
      </c>
      <c r="E6" s="59" t="n">
        <v>44.85</v>
      </c>
      <c r="F6" s="60" t="n">
        <f aca="false">E6*12</f>
        <v>538.2</v>
      </c>
      <c r="G6" s="32" t="s">
        <v>299</v>
      </c>
    </row>
    <row r="7" customFormat="false" ht="30" hidden="false" customHeight="true" outlineLevel="0" collapsed="false">
      <c r="A7" s="4" t="s">
        <v>300</v>
      </c>
      <c r="B7" s="26" t="s">
        <v>301</v>
      </c>
      <c r="C7" s="5" t="s">
        <v>302</v>
      </c>
      <c r="D7" s="58" t="s">
        <v>295</v>
      </c>
      <c r="E7" s="59" t="n">
        <v>32</v>
      </c>
      <c r="F7" s="60" t="n">
        <f aca="false">E7*12</f>
        <v>384</v>
      </c>
      <c r="G7" s="32" t="s">
        <v>303</v>
      </c>
    </row>
    <row r="8" customFormat="false" ht="30" hidden="false" customHeight="true" outlineLevel="0" collapsed="false">
      <c r="A8" s="4" t="s">
        <v>304</v>
      </c>
      <c r="B8" s="26" t="s">
        <v>301</v>
      </c>
      <c r="C8" s="5" t="s">
        <v>305</v>
      </c>
      <c r="D8" s="58" t="s">
        <v>295</v>
      </c>
      <c r="E8" s="59" t="n">
        <v>1</v>
      </c>
      <c r="F8" s="60" t="n">
        <f aca="false">E8*12</f>
        <v>12</v>
      </c>
      <c r="G8" s="32" t="s">
        <v>306</v>
      </c>
    </row>
    <row r="9" customFormat="false" ht="30" hidden="false" customHeight="true" outlineLevel="0" collapsed="false">
      <c r="A9" s="4" t="s">
        <v>307</v>
      </c>
      <c r="B9" s="26" t="s">
        <v>308</v>
      </c>
      <c r="C9" s="5" t="s">
        <v>309</v>
      </c>
      <c r="D9" s="58" t="s">
        <v>310</v>
      </c>
      <c r="E9" s="59" t="n">
        <v>20</v>
      </c>
      <c r="F9" s="60" t="n">
        <f aca="false">E9*12</f>
        <v>240</v>
      </c>
      <c r="G9" s="32" t="s">
        <v>311</v>
      </c>
    </row>
    <row r="10" customFormat="false" ht="30" hidden="false" customHeight="true" outlineLevel="0" collapsed="false">
      <c r="A10" s="4" t="s">
        <v>312</v>
      </c>
      <c r="B10" s="26" t="s">
        <v>293</v>
      </c>
      <c r="C10" s="5" t="s">
        <v>313</v>
      </c>
      <c r="D10" s="58" t="s">
        <v>295</v>
      </c>
      <c r="E10" s="61" t="n">
        <v>0</v>
      </c>
      <c r="F10" s="60" t="n">
        <f aca="false">E10*12</f>
        <v>0</v>
      </c>
      <c r="G10" s="32" t="s">
        <v>314</v>
      </c>
    </row>
    <row r="11" customFormat="false" ht="30" hidden="false" customHeight="true" outlineLevel="0" collapsed="false">
      <c r="A11" s="4" t="s">
        <v>315</v>
      </c>
      <c r="B11" s="26" t="s">
        <v>293</v>
      </c>
      <c r="C11" s="5" t="s">
        <v>316</v>
      </c>
      <c r="D11" s="58" t="s">
        <v>295</v>
      </c>
      <c r="E11" s="61" t="n">
        <v>0</v>
      </c>
      <c r="F11" s="60" t="n">
        <f aca="false">E11*12</f>
        <v>0</v>
      </c>
      <c r="G11" s="32" t="s">
        <v>317</v>
      </c>
    </row>
    <row r="12" customFormat="false" ht="30" hidden="false" customHeight="true" outlineLevel="0" collapsed="false">
      <c r="A12" s="4" t="s">
        <v>318</v>
      </c>
      <c r="B12" s="26" t="s">
        <v>293</v>
      </c>
      <c r="C12" s="5" t="s">
        <v>319</v>
      </c>
      <c r="D12" s="58" t="s">
        <v>295</v>
      </c>
      <c r="E12" s="61" t="n">
        <v>0</v>
      </c>
      <c r="F12" s="60" t="n">
        <f aca="false">E12*12</f>
        <v>0</v>
      </c>
      <c r="G12" s="32" t="s">
        <v>320</v>
      </c>
    </row>
    <row r="13" customFormat="false" ht="30" hidden="false" customHeight="true" outlineLevel="0" collapsed="false">
      <c r="A13" s="4" t="s">
        <v>321</v>
      </c>
      <c r="B13" s="26" t="s">
        <v>301</v>
      </c>
      <c r="C13" s="5" t="s">
        <v>322</v>
      </c>
      <c r="D13" s="62" t="s">
        <v>323</v>
      </c>
      <c r="E13" s="61" t="n">
        <v>0</v>
      </c>
      <c r="F13" s="60" t="n">
        <f aca="false">E13*12</f>
        <v>0</v>
      </c>
      <c r="G13" s="32" t="s">
        <v>324</v>
      </c>
    </row>
    <row r="14" customFormat="false" ht="30" hidden="false" customHeight="true" outlineLevel="0" collapsed="false">
      <c r="A14" s="4" t="s">
        <v>325</v>
      </c>
      <c r="B14" s="26" t="s">
        <v>301</v>
      </c>
      <c r="C14" s="5" t="s">
        <v>326</v>
      </c>
      <c r="D14" s="58" t="s">
        <v>295</v>
      </c>
      <c r="E14" s="59" t="n">
        <v>4</v>
      </c>
      <c r="F14" s="60" t="n">
        <f aca="false">E14*12</f>
        <v>48</v>
      </c>
      <c r="G14" s="32" t="s">
        <v>327</v>
      </c>
    </row>
    <row r="15" customFormat="false" ht="30" hidden="false" customHeight="true" outlineLevel="0" collapsed="false">
      <c r="A15" s="4" t="s">
        <v>328</v>
      </c>
      <c r="B15" s="26" t="s">
        <v>329</v>
      </c>
      <c r="C15" s="5" t="s">
        <v>330</v>
      </c>
      <c r="D15" s="58" t="s">
        <v>295</v>
      </c>
      <c r="E15" s="61" t="n">
        <v>0</v>
      </c>
      <c r="F15" s="60" t="n">
        <f aca="false">E15*12</f>
        <v>0</v>
      </c>
      <c r="G15" s="32" t="s">
        <v>331</v>
      </c>
    </row>
    <row r="16" customFormat="false" ht="30" hidden="false" customHeight="true" outlineLevel="0" collapsed="false">
      <c r="A16" s="4" t="s">
        <v>332</v>
      </c>
      <c r="B16" s="26" t="s">
        <v>333</v>
      </c>
      <c r="C16" s="5" t="s">
        <v>334</v>
      </c>
      <c r="D16" s="62" t="s">
        <v>323</v>
      </c>
      <c r="E16" s="61" t="n">
        <v>0</v>
      </c>
      <c r="F16" s="60" t="n">
        <f aca="false">E16*12</f>
        <v>0</v>
      </c>
      <c r="G16" s="32" t="s">
        <v>335</v>
      </c>
    </row>
    <row r="17" customFormat="false" ht="30" hidden="false" customHeight="true" outlineLevel="0" collapsed="false">
      <c r="A17" s="4" t="s">
        <v>336</v>
      </c>
      <c r="B17" s="26" t="s">
        <v>333</v>
      </c>
      <c r="C17" s="5" t="s">
        <v>337</v>
      </c>
      <c r="D17" s="62" t="s">
        <v>323</v>
      </c>
      <c r="E17" s="61" t="n">
        <v>0</v>
      </c>
      <c r="F17" s="60" t="n">
        <f aca="false">E17*12</f>
        <v>0</v>
      </c>
      <c r="G17" s="32" t="s">
        <v>338</v>
      </c>
    </row>
    <row r="18" customFormat="false" ht="30" hidden="false" customHeight="true" outlineLevel="0" collapsed="false">
      <c r="A18" s="4" t="s">
        <v>339</v>
      </c>
      <c r="B18" s="26" t="s">
        <v>333</v>
      </c>
      <c r="C18" s="5" t="s">
        <v>340</v>
      </c>
      <c r="D18" s="62" t="s">
        <v>323</v>
      </c>
      <c r="E18" s="61" t="n">
        <v>0</v>
      </c>
      <c r="F18" s="60" t="n">
        <f aca="false">E18*12</f>
        <v>0</v>
      </c>
      <c r="G18" s="32" t="s">
        <v>341</v>
      </c>
    </row>
    <row r="19" customFormat="false" ht="30" hidden="false" customHeight="true" outlineLevel="0" collapsed="false">
      <c r="A19" s="4" t="s">
        <v>342</v>
      </c>
      <c r="B19" s="26" t="s">
        <v>333</v>
      </c>
      <c r="C19" s="5" t="s">
        <v>343</v>
      </c>
      <c r="D19" s="62" t="s">
        <v>323</v>
      </c>
      <c r="E19" s="61" t="n">
        <v>0</v>
      </c>
      <c r="F19" s="60" t="n">
        <f aca="false">E19*12</f>
        <v>0</v>
      </c>
      <c r="G19" s="32" t="s">
        <v>344</v>
      </c>
    </row>
    <row r="20" customFormat="false" ht="30" hidden="false" customHeight="true" outlineLevel="0" collapsed="false">
      <c r="A20" s="4" t="s">
        <v>345</v>
      </c>
      <c r="B20" s="26" t="s">
        <v>333</v>
      </c>
      <c r="C20" s="5" t="s">
        <v>346</v>
      </c>
      <c r="D20" s="62" t="s">
        <v>323</v>
      </c>
      <c r="E20" s="61" t="n">
        <v>0</v>
      </c>
      <c r="F20" s="60" t="n">
        <f aca="false">E20*12</f>
        <v>0</v>
      </c>
      <c r="G20" s="32" t="s">
        <v>347</v>
      </c>
    </row>
    <row r="21" customFormat="false" ht="30" hidden="false" customHeight="true" outlineLevel="0" collapsed="false">
      <c r="A21" s="4" t="s">
        <v>348</v>
      </c>
      <c r="B21" s="26" t="s">
        <v>333</v>
      </c>
      <c r="C21" s="5" t="s">
        <v>349</v>
      </c>
      <c r="D21" s="62" t="s">
        <v>323</v>
      </c>
      <c r="E21" s="61" t="n">
        <v>0</v>
      </c>
      <c r="F21" s="60" t="n">
        <f aca="false">E21*12</f>
        <v>0</v>
      </c>
      <c r="G21" s="32" t="s">
        <v>350</v>
      </c>
    </row>
    <row r="22" customFormat="false" ht="30" hidden="false" customHeight="true" outlineLevel="0" collapsed="false">
      <c r="A22" s="4" t="s">
        <v>351</v>
      </c>
      <c r="B22" s="26" t="s">
        <v>333</v>
      </c>
      <c r="C22" s="5" t="s">
        <v>352</v>
      </c>
      <c r="D22" s="62" t="s">
        <v>323</v>
      </c>
      <c r="E22" s="61" t="n">
        <v>0</v>
      </c>
      <c r="F22" s="60" t="n">
        <f aca="false">E22*12</f>
        <v>0</v>
      </c>
      <c r="G22" s="32" t="s">
        <v>344</v>
      </c>
    </row>
    <row r="23" customFormat="false" ht="30" hidden="false" customHeight="true" outlineLevel="0" collapsed="false">
      <c r="A23" s="4" t="s">
        <v>353</v>
      </c>
      <c r="B23" s="26" t="s">
        <v>333</v>
      </c>
      <c r="C23" s="5" t="s">
        <v>354</v>
      </c>
      <c r="D23" s="62" t="s">
        <v>323</v>
      </c>
      <c r="E23" s="61" t="n">
        <v>0</v>
      </c>
      <c r="F23" s="60" t="n">
        <f aca="false">E23*12</f>
        <v>0</v>
      </c>
      <c r="G23" s="32" t="s">
        <v>355</v>
      </c>
    </row>
    <row r="24" customFormat="false" ht="30" hidden="false" customHeight="true" outlineLevel="0" collapsed="false">
      <c r="A24" s="4" t="s">
        <v>356</v>
      </c>
      <c r="B24" s="26" t="s">
        <v>333</v>
      </c>
      <c r="C24" s="5" t="s">
        <v>357</v>
      </c>
      <c r="D24" s="62" t="s">
        <v>323</v>
      </c>
      <c r="E24" s="61" t="n">
        <v>0</v>
      </c>
      <c r="F24" s="60" t="n">
        <f aca="false">E24*12</f>
        <v>0</v>
      </c>
      <c r="G24" s="32" t="s">
        <v>358</v>
      </c>
    </row>
    <row r="25" customFormat="false" ht="30" hidden="false" customHeight="true" outlineLevel="0" collapsed="false">
      <c r="A25" s="4" t="s">
        <v>359</v>
      </c>
      <c r="B25" s="26" t="s">
        <v>333</v>
      </c>
      <c r="C25" s="5" t="s">
        <v>360</v>
      </c>
      <c r="D25" s="62" t="s">
        <v>323</v>
      </c>
      <c r="E25" s="61" t="n">
        <v>0</v>
      </c>
      <c r="F25" s="60" t="n">
        <f aca="false">E25*12</f>
        <v>0</v>
      </c>
      <c r="G25" s="32" t="s">
        <v>361</v>
      </c>
    </row>
    <row r="26" customFormat="false" ht="30" hidden="false" customHeight="true" outlineLevel="0" collapsed="false">
      <c r="A26" s="4" t="s">
        <v>362</v>
      </c>
      <c r="B26" s="26" t="s">
        <v>333</v>
      </c>
      <c r="C26" s="5" t="s">
        <v>363</v>
      </c>
      <c r="D26" s="62" t="s">
        <v>323</v>
      </c>
      <c r="E26" s="61" t="n">
        <v>0</v>
      </c>
      <c r="F26" s="60" t="n">
        <f aca="false">E26*12</f>
        <v>0</v>
      </c>
      <c r="G26" s="32" t="s">
        <v>344</v>
      </c>
    </row>
    <row r="27" customFormat="false" ht="30" hidden="false" customHeight="true" outlineLevel="0" collapsed="false">
      <c r="A27" s="4" t="s">
        <v>364</v>
      </c>
      <c r="B27" s="26" t="s">
        <v>333</v>
      </c>
      <c r="C27" s="5" t="s">
        <v>365</v>
      </c>
      <c r="D27" s="62" t="s">
        <v>323</v>
      </c>
      <c r="E27" s="61" t="n">
        <v>0</v>
      </c>
      <c r="F27" s="60" t="n">
        <f aca="false">E27*12</f>
        <v>0</v>
      </c>
      <c r="G27" s="32" t="s">
        <v>366</v>
      </c>
    </row>
    <row r="28" customFormat="false" ht="30" hidden="false" customHeight="true" outlineLevel="0" collapsed="false">
      <c r="A28" s="4" t="s">
        <v>367</v>
      </c>
      <c r="B28" s="26" t="s">
        <v>333</v>
      </c>
      <c r="C28" s="5" t="s">
        <v>368</v>
      </c>
      <c r="D28" s="62" t="s">
        <v>323</v>
      </c>
      <c r="E28" s="61" t="n">
        <v>0</v>
      </c>
      <c r="F28" s="60" t="n">
        <f aca="false">E28*12</f>
        <v>0</v>
      </c>
      <c r="G28" s="32" t="s">
        <v>369</v>
      </c>
    </row>
    <row r="29" customFormat="false" ht="30" hidden="false" customHeight="true" outlineLevel="0" collapsed="false">
      <c r="A29" s="4" t="s">
        <v>370</v>
      </c>
      <c r="B29" s="26" t="s">
        <v>308</v>
      </c>
      <c r="C29" s="5" t="s">
        <v>371</v>
      </c>
      <c r="D29" s="62" t="s">
        <v>323</v>
      </c>
      <c r="E29" s="61" t="n">
        <v>0</v>
      </c>
      <c r="F29" s="60" t="n">
        <f aca="false">E29*12</f>
        <v>0</v>
      </c>
      <c r="G29" s="32" t="s">
        <v>372</v>
      </c>
    </row>
    <row r="30" customFormat="false" ht="30" hidden="false" customHeight="true" outlineLevel="0" collapsed="false">
      <c r="A30" s="4" t="s">
        <v>373</v>
      </c>
      <c r="B30" s="26" t="s">
        <v>374</v>
      </c>
      <c r="C30" s="5" t="s">
        <v>375</v>
      </c>
      <c r="D30" s="62" t="s">
        <v>323</v>
      </c>
      <c r="E30" s="61" t="n">
        <v>0</v>
      </c>
      <c r="F30" s="60" t="n">
        <f aca="false">E30*12</f>
        <v>0</v>
      </c>
      <c r="G30" s="32" t="s">
        <v>376</v>
      </c>
    </row>
    <row r="31" customFormat="false" ht="30" hidden="false" customHeight="true" outlineLevel="0" collapsed="false">
      <c r="A31" s="4" t="s">
        <v>377</v>
      </c>
      <c r="B31" s="26" t="s">
        <v>301</v>
      </c>
      <c r="C31" s="5" t="s">
        <v>378</v>
      </c>
      <c r="D31" s="62" t="s">
        <v>323</v>
      </c>
      <c r="E31" s="61" t="n">
        <v>0</v>
      </c>
      <c r="F31" s="60" t="n">
        <f aca="false">E31*12</f>
        <v>0</v>
      </c>
      <c r="G31" s="32" t="s">
        <v>341</v>
      </c>
    </row>
    <row r="32" customFormat="false" ht="30" hidden="false" customHeight="true" outlineLevel="0" collapsed="false">
      <c r="A32" s="4" t="s">
        <v>379</v>
      </c>
      <c r="B32" s="26" t="s">
        <v>301</v>
      </c>
      <c r="C32" s="5" t="s">
        <v>380</v>
      </c>
      <c r="D32" s="62" t="s">
        <v>323</v>
      </c>
      <c r="E32" s="61" t="n">
        <v>0</v>
      </c>
      <c r="F32" s="60" t="n">
        <f aca="false">E32*12</f>
        <v>0</v>
      </c>
      <c r="G32" s="32" t="s">
        <v>381</v>
      </c>
    </row>
    <row r="33" customFormat="false" ht="30" hidden="false" customHeight="true" outlineLevel="0" collapsed="false">
      <c r="A33" s="4" t="s">
        <v>382</v>
      </c>
      <c r="B33" s="26" t="s">
        <v>383</v>
      </c>
      <c r="C33" s="5" t="s">
        <v>384</v>
      </c>
      <c r="D33" s="62" t="s">
        <v>323</v>
      </c>
      <c r="E33" s="61" t="n">
        <v>0</v>
      </c>
      <c r="F33" s="60" t="n">
        <f aca="false">E33*12</f>
        <v>0</v>
      </c>
      <c r="G33" s="32" t="s">
        <v>385</v>
      </c>
    </row>
    <row r="34" customFormat="false" ht="30" hidden="false" customHeight="true" outlineLevel="0" collapsed="false">
      <c r="A34" s="4" t="s">
        <v>386</v>
      </c>
      <c r="B34" s="26" t="s">
        <v>301</v>
      </c>
      <c r="C34" s="5" t="s">
        <v>387</v>
      </c>
      <c r="D34" s="63" t="s">
        <v>388</v>
      </c>
      <c r="E34" s="59" t="n">
        <v>4.4</v>
      </c>
      <c r="F34" s="60" t="n">
        <f aca="false">E34*12</f>
        <v>52.8</v>
      </c>
      <c r="G34" s="32" t="s">
        <v>389</v>
      </c>
    </row>
    <row r="35" customFormat="false" ht="30" hidden="false" customHeight="true" outlineLevel="0" collapsed="false">
      <c r="A35" s="4" t="s">
        <v>390</v>
      </c>
      <c r="B35" s="26" t="s">
        <v>301</v>
      </c>
      <c r="C35" s="5" t="s">
        <v>391</v>
      </c>
      <c r="D35" s="63" t="s">
        <v>388</v>
      </c>
      <c r="E35" s="59" t="n">
        <v>10</v>
      </c>
      <c r="F35" s="60" t="n">
        <f aca="false">E35*12</f>
        <v>120</v>
      </c>
      <c r="G35" s="32" t="s">
        <v>392</v>
      </c>
    </row>
    <row r="36" customFormat="false" ht="30" hidden="false" customHeight="true" outlineLevel="0" collapsed="false">
      <c r="A36" s="4" t="s">
        <v>99</v>
      </c>
      <c r="B36" s="26" t="s">
        <v>301</v>
      </c>
      <c r="C36" s="5" t="s">
        <v>393</v>
      </c>
      <c r="D36" s="63" t="s">
        <v>388</v>
      </c>
      <c r="E36" s="59" t="n">
        <v>22.23</v>
      </c>
      <c r="F36" s="60" t="n">
        <f aca="false">E36*12</f>
        <v>266.76</v>
      </c>
      <c r="G36" s="32" t="s">
        <v>394</v>
      </c>
    </row>
    <row r="37" customFormat="false" ht="30" hidden="false" customHeight="true" outlineLevel="0" collapsed="false">
      <c r="A37" s="4" t="s">
        <v>395</v>
      </c>
      <c r="B37" s="26" t="s">
        <v>301</v>
      </c>
      <c r="C37" s="5" t="s">
        <v>396</v>
      </c>
      <c r="D37" s="63" t="s">
        <v>388</v>
      </c>
      <c r="E37" s="59" t="n">
        <v>20</v>
      </c>
      <c r="F37" s="60" t="n">
        <f aca="false">E37*12</f>
        <v>240</v>
      </c>
      <c r="G37" s="32" t="s">
        <v>397</v>
      </c>
    </row>
    <row r="38" customFormat="false" ht="30" hidden="false" customHeight="true" outlineLevel="0" collapsed="false">
      <c r="A38" s="4" t="s">
        <v>398</v>
      </c>
      <c r="B38" s="26" t="s">
        <v>333</v>
      </c>
      <c r="C38" s="5" t="s">
        <v>399</v>
      </c>
      <c r="D38" s="63" t="s">
        <v>388</v>
      </c>
      <c r="E38" s="59" t="n">
        <v>30</v>
      </c>
      <c r="F38" s="60" t="n">
        <f aca="false">E38*12</f>
        <v>360</v>
      </c>
      <c r="G38" s="32" t="s">
        <v>400</v>
      </c>
    </row>
    <row r="39" customFormat="false" ht="30" hidden="false" customHeight="true" outlineLevel="0" collapsed="false">
      <c r="A39" s="4" t="s">
        <v>401</v>
      </c>
      <c r="B39" s="26" t="s">
        <v>333</v>
      </c>
      <c r="C39" s="5" t="s">
        <v>402</v>
      </c>
      <c r="D39" s="63" t="s">
        <v>388</v>
      </c>
      <c r="E39" s="59" t="n">
        <v>40</v>
      </c>
      <c r="F39" s="60" t="n">
        <f aca="false">E39*12</f>
        <v>480</v>
      </c>
      <c r="G39" s="32" t="s">
        <v>403</v>
      </c>
    </row>
    <row r="40" customFormat="false" ht="30" hidden="false" customHeight="true" outlineLevel="0" collapsed="false">
      <c r="A40" s="4" t="s">
        <v>404</v>
      </c>
      <c r="B40" s="26" t="s">
        <v>333</v>
      </c>
      <c r="C40" s="5" t="s">
        <v>405</v>
      </c>
      <c r="D40" s="63" t="s">
        <v>388</v>
      </c>
      <c r="E40" s="59" t="n">
        <v>50</v>
      </c>
      <c r="F40" s="60" t="n">
        <f aca="false">E40*12</f>
        <v>600</v>
      </c>
      <c r="G40" s="32" t="s">
        <v>406</v>
      </c>
    </row>
    <row r="41" customFormat="false" ht="30" hidden="false" customHeight="true" outlineLevel="0" collapsed="false">
      <c r="A41" s="4" t="s">
        <v>407</v>
      </c>
      <c r="B41" s="26" t="s">
        <v>329</v>
      </c>
      <c r="C41" s="5" t="s">
        <v>408</v>
      </c>
      <c r="D41" s="63" t="s">
        <v>388</v>
      </c>
      <c r="E41" s="61" t="n">
        <v>0</v>
      </c>
      <c r="F41" s="60" t="n">
        <f aca="false">E41*12</f>
        <v>0</v>
      </c>
      <c r="G41" s="32" t="s">
        <v>409</v>
      </c>
    </row>
    <row r="42" customFormat="false" ht="30" hidden="false" customHeight="true" outlineLevel="0" collapsed="false">
      <c r="A42" s="4" t="s">
        <v>410</v>
      </c>
      <c r="B42" s="26" t="s">
        <v>333</v>
      </c>
      <c r="C42" s="5" t="s">
        <v>411</v>
      </c>
      <c r="D42" s="63" t="s">
        <v>412</v>
      </c>
      <c r="E42" s="61" t="n">
        <v>0</v>
      </c>
      <c r="F42" s="60" t="n">
        <f aca="false">E42*12</f>
        <v>0</v>
      </c>
      <c r="G42" s="32" t="s">
        <v>413</v>
      </c>
    </row>
    <row r="43" customFormat="false" ht="30" hidden="false" customHeight="true" outlineLevel="0" collapsed="false">
      <c r="A43" s="4" t="s">
        <v>414</v>
      </c>
      <c r="B43" s="26" t="s">
        <v>333</v>
      </c>
      <c r="C43" s="5" t="s">
        <v>415</v>
      </c>
      <c r="D43" s="63" t="s">
        <v>412</v>
      </c>
      <c r="E43" s="61" t="n">
        <v>0</v>
      </c>
      <c r="F43" s="60" t="n">
        <f aca="false">E43*12</f>
        <v>0</v>
      </c>
      <c r="G43" s="32" t="s">
        <v>416</v>
      </c>
    </row>
    <row r="44" customFormat="false" ht="30" hidden="false" customHeight="true" outlineLevel="0" collapsed="false">
      <c r="A44" s="4" t="s">
        <v>417</v>
      </c>
      <c r="B44" s="26" t="s">
        <v>333</v>
      </c>
      <c r="C44" s="5" t="s">
        <v>418</v>
      </c>
      <c r="D44" s="63" t="s">
        <v>412</v>
      </c>
      <c r="E44" s="61" t="n">
        <v>0</v>
      </c>
      <c r="F44" s="60" t="n">
        <f aca="false">E44*12</f>
        <v>0</v>
      </c>
      <c r="G44" s="32" t="s">
        <v>419</v>
      </c>
    </row>
    <row r="45" customFormat="false" ht="30" hidden="false" customHeight="true" outlineLevel="0" collapsed="false">
      <c r="A45" s="4" t="s">
        <v>420</v>
      </c>
      <c r="B45" s="26" t="s">
        <v>333</v>
      </c>
      <c r="C45" s="5" t="s">
        <v>421</v>
      </c>
      <c r="D45" s="63" t="s">
        <v>412</v>
      </c>
      <c r="E45" s="61" t="n">
        <v>0</v>
      </c>
      <c r="F45" s="60" t="n">
        <f aca="false">E45*12</f>
        <v>0</v>
      </c>
      <c r="G45" s="32" t="s">
        <v>422</v>
      </c>
    </row>
    <row r="46" customFormat="false" ht="30" hidden="false" customHeight="true" outlineLevel="0" collapsed="false">
      <c r="A46" s="4" t="s">
        <v>423</v>
      </c>
      <c r="B46" s="26" t="s">
        <v>333</v>
      </c>
      <c r="C46" s="5" t="s">
        <v>424</v>
      </c>
      <c r="D46" s="64" t="s">
        <v>425</v>
      </c>
      <c r="E46" s="61" t="n">
        <v>0</v>
      </c>
      <c r="F46" s="60" t="n">
        <f aca="false">E46*12</f>
        <v>0</v>
      </c>
      <c r="G46" s="32" t="s">
        <v>426</v>
      </c>
    </row>
    <row r="47" customFormat="false" ht="30" hidden="false" customHeight="true" outlineLevel="0" collapsed="false">
      <c r="A47" s="4" t="s">
        <v>427</v>
      </c>
      <c r="B47" s="26" t="s">
        <v>333</v>
      </c>
      <c r="C47" s="5" t="s">
        <v>428</v>
      </c>
      <c r="D47" s="64" t="s">
        <v>425</v>
      </c>
      <c r="E47" s="61" t="n">
        <v>0</v>
      </c>
      <c r="F47" s="60" t="n">
        <f aca="false">E47*12</f>
        <v>0</v>
      </c>
      <c r="G47" s="32" t="s">
        <v>429</v>
      </c>
    </row>
    <row r="48" customFormat="false" ht="30" hidden="false" customHeight="true" outlineLevel="0" collapsed="false">
      <c r="A48" s="4" t="s">
        <v>430</v>
      </c>
      <c r="B48" s="26" t="s">
        <v>329</v>
      </c>
      <c r="C48" s="5" t="s">
        <v>431</v>
      </c>
      <c r="D48" s="64" t="s">
        <v>425</v>
      </c>
      <c r="E48" s="61" t="n">
        <v>0</v>
      </c>
      <c r="F48" s="60" t="n">
        <f aca="false">E48*12</f>
        <v>0</v>
      </c>
      <c r="G48" s="32" t="s">
        <v>432</v>
      </c>
    </row>
    <row r="49" customFormat="false" ht="30" hidden="false" customHeight="true" outlineLevel="0" collapsed="false">
      <c r="A49" s="4" t="s">
        <v>433</v>
      </c>
      <c r="B49" s="26" t="s">
        <v>333</v>
      </c>
      <c r="C49" s="5" t="s">
        <v>434</v>
      </c>
      <c r="D49" s="64" t="s">
        <v>425</v>
      </c>
      <c r="E49" s="61" t="n">
        <v>0</v>
      </c>
      <c r="F49" s="60" t="n">
        <f aca="false">E49*12</f>
        <v>0</v>
      </c>
      <c r="G49" s="32" t="s">
        <v>435</v>
      </c>
    </row>
    <row r="51" customFormat="false" ht="15" hidden="false" customHeight="false" outlineLevel="0" collapsed="false">
      <c r="A51" s="9" t="s">
        <v>436</v>
      </c>
      <c r="B51" s="10"/>
      <c r="C51" s="10"/>
      <c r="D51" s="10"/>
      <c r="E51" s="10"/>
      <c r="F51" s="10"/>
      <c r="G51" s="10"/>
    </row>
    <row r="52" customFormat="false" ht="15" hidden="false" customHeight="false" outlineLevel="0" collapsed="false">
      <c r="A52" s="34" t="s">
        <v>437</v>
      </c>
      <c r="B52" s="28"/>
      <c r="C52" s="28"/>
      <c r="D52" s="26" t="s">
        <v>295</v>
      </c>
      <c r="E52" s="65" t="n">
        <f aca="false">SUMIFS($E$5:$E$49,$D$5:$D$49,"PAID")</f>
        <v>311.85</v>
      </c>
      <c r="F52" s="66" t="n">
        <f aca="false">E52*12</f>
        <v>3742.2</v>
      </c>
      <c r="G52" s="29" t="n">
        <f aca="false">COUNTIFS($D$5:$D$49,"PAID")</f>
        <v>9</v>
      </c>
    </row>
    <row r="53" customFormat="false" ht="15" hidden="false" customHeight="false" outlineLevel="0" collapsed="false">
      <c r="A53" s="34" t="s">
        <v>438</v>
      </c>
      <c r="B53" s="28"/>
      <c r="C53" s="28"/>
      <c r="D53" s="26" t="s">
        <v>310</v>
      </c>
      <c r="E53" s="65" t="n">
        <f aca="false">SUMIFS($E$5:$E$49,$D$5:$D$49,"COMMITTED")</f>
        <v>20</v>
      </c>
      <c r="F53" s="66" t="n">
        <f aca="false">E53*12</f>
        <v>240</v>
      </c>
      <c r="G53" s="29" t="n">
        <f aca="false">COUNTIFS($D$5:$D$49,"COMMITTED")</f>
        <v>1</v>
      </c>
    </row>
    <row r="54" customFormat="false" ht="15" hidden="false" customHeight="false" outlineLevel="0" collapsed="false">
      <c r="A54" s="34" t="s">
        <v>439</v>
      </c>
      <c r="B54" s="28"/>
      <c r="C54" s="28"/>
      <c r="D54" s="26" t="s">
        <v>323</v>
      </c>
      <c r="E54" s="65" t="n">
        <f aca="false">SUMIFS($E$5:$E$49,$D$5:$D$49,"FREE")</f>
        <v>0</v>
      </c>
      <c r="F54" s="66" t="n">
        <f aca="false">E54*12</f>
        <v>0</v>
      </c>
      <c r="G54" s="29" t="n">
        <f aca="false">COUNTIFS($D$5:$D$49,"FREE")</f>
        <v>19</v>
      </c>
    </row>
    <row r="55" customFormat="false" ht="15" hidden="false" customHeight="false" outlineLevel="0" collapsed="false">
      <c r="A55" s="34" t="s">
        <v>440</v>
      </c>
      <c r="B55" s="28"/>
      <c r="C55" s="28"/>
      <c r="D55" s="26" t="s">
        <v>388</v>
      </c>
      <c r="E55" s="65" t="n">
        <f aca="false">SUMIFS($E$5:$E$49,$D$5:$D$49,"PLANNED")</f>
        <v>176.63</v>
      </c>
      <c r="F55" s="66" t="n">
        <f aca="false">E55*12</f>
        <v>2119.56</v>
      </c>
      <c r="G55" s="29" t="n">
        <f aca="false">COUNTIFS($D$5:$D$49,"PLANNED")</f>
        <v>8</v>
      </c>
    </row>
    <row r="56" customFormat="false" ht="15" hidden="false" customHeight="false" outlineLevel="0" collapsed="false">
      <c r="A56" s="34" t="s">
        <v>441</v>
      </c>
      <c r="B56" s="28"/>
      <c r="C56" s="28"/>
      <c r="D56" s="26" t="s">
        <v>412</v>
      </c>
      <c r="E56" s="65" t="n">
        <f aca="false">SUMIFS($E$5:$E$49,$D$5:$D$49,"HELD")</f>
        <v>0</v>
      </c>
      <c r="F56" s="66" t="n">
        <f aca="false">E56*12</f>
        <v>0</v>
      </c>
      <c r="G56" s="29" t="n">
        <f aca="false">COUNTIFS($D$5:$D$49,"HELD")</f>
        <v>4</v>
      </c>
    </row>
    <row r="57" customFormat="false" ht="15" hidden="false" customHeight="false" outlineLevel="0" collapsed="false">
      <c r="A57" s="34" t="s">
        <v>442</v>
      </c>
      <c r="B57" s="28"/>
      <c r="C57" s="28"/>
      <c r="D57" s="26" t="s">
        <v>425</v>
      </c>
      <c r="E57" s="65" t="n">
        <f aca="false">SUMIFS($E$5:$E$49,$D$5:$D$49,"CLOSED")</f>
        <v>0</v>
      </c>
      <c r="F57" s="66" t="n">
        <f aca="false">E57*12</f>
        <v>0</v>
      </c>
      <c r="G57" s="29" t="n">
        <f aca="false">COUNTIFS($D$5:$D$49,"CLOSED")</f>
        <v>4</v>
      </c>
    </row>
    <row r="59" customFormat="false" ht="15" hidden="false" customHeight="false" outlineLevel="0" collapsed="false">
      <c r="A59" s="17" t="s">
        <v>443</v>
      </c>
      <c r="E59" s="67" t="n">
        <f aca="false">E52+E53</f>
        <v>331.85</v>
      </c>
      <c r="F59" s="68" t="n">
        <f aca="false">E59*12</f>
        <v>3982.2</v>
      </c>
      <c r="G59" s="69" t="s">
        <v>444</v>
      </c>
    </row>
    <row r="60" customFormat="false" ht="15" hidden="false" customHeight="false" outlineLevel="0" collapsed="false">
      <c r="A60" s="17" t="s">
        <v>445</v>
      </c>
      <c r="E60" s="70" t="n">
        <f aca="false">E52+E53+E55</f>
        <v>508.48</v>
      </c>
      <c r="F60" s="20" t="n">
        <f aca="false">E60*12</f>
        <v>6101.76</v>
      </c>
      <c r="G60" s="69" t="s">
        <v>446</v>
      </c>
    </row>
    <row r="62" customFormat="false" ht="45.75" hidden="false" customHeight="true" outlineLevel="0" collapsed="false">
      <c r="A62" s="71" t="s">
        <v>447</v>
      </c>
      <c r="B62" s="71"/>
      <c r="C62" s="71"/>
      <c r="D62" s="71"/>
      <c r="E62" s="71"/>
      <c r="F62" s="71"/>
      <c r="G62" s="71"/>
    </row>
    <row r="63" customFormat="false" ht="45.75" hidden="false" customHeight="true" outlineLevel="0" collapsed="false">
      <c r="A63" s="71" t="s">
        <v>448</v>
      </c>
      <c r="B63" s="71"/>
      <c r="C63" s="71"/>
      <c r="D63" s="71"/>
      <c r="E63" s="71"/>
      <c r="F63" s="71"/>
      <c r="G63" s="71"/>
    </row>
  </sheetData>
  <mergeCells count="2">
    <mergeCell ref="A62:G62"/>
    <mergeCell ref="A63:G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5" min="2" style="0" width="14"/>
    <col collapsed="false" customWidth="true" hidden="false" outlineLevel="0" max="6" min="6" style="0" width="68"/>
  </cols>
  <sheetData>
    <row r="1" customFormat="false" ht="21.75" hidden="false" customHeight="true" outlineLevel="0" collapsed="false">
      <c r="A1" s="1" t="s">
        <v>449</v>
      </c>
      <c r="B1" s="1"/>
      <c r="C1" s="1"/>
      <c r="D1" s="1"/>
      <c r="E1" s="1"/>
      <c r="F1" s="1"/>
    </row>
    <row r="2" customFormat="false" ht="15" hidden="false" customHeight="false" outlineLevel="0" collapsed="false">
      <c r="A2" s="9" t="s">
        <v>450</v>
      </c>
      <c r="B2" s="10"/>
      <c r="C2" s="10"/>
      <c r="D2" s="10"/>
      <c r="E2" s="10"/>
      <c r="F2" s="10"/>
    </row>
    <row r="3" customFormat="false" ht="42" hidden="false" customHeight="true" outlineLevel="0" collapsed="false">
      <c r="A3" s="71" t="s">
        <v>451</v>
      </c>
      <c r="B3" s="71"/>
      <c r="C3" s="71"/>
      <c r="D3" s="71"/>
      <c r="E3" s="71"/>
      <c r="F3" s="71"/>
    </row>
    <row r="4" customFormat="false" ht="42" hidden="false" customHeight="true" outlineLevel="0" collapsed="false">
      <c r="A4" s="71" t="s">
        <v>452</v>
      </c>
      <c r="B4" s="71"/>
      <c r="C4" s="71"/>
      <c r="D4" s="71"/>
      <c r="E4" s="71"/>
      <c r="F4" s="71"/>
    </row>
    <row r="6" customFormat="false" ht="30" hidden="false" customHeight="true" outlineLevel="0" collapsed="false">
      <c r="A6" s="3" t="s">
        <v>453</v>
      </c>
      <c r="B6" s="3" t="s">
        <v>454</v>
      </c>
      <c r="C6" s="3" t="s">
        <v>289</v>
      </c>
      <c r="D6" s="3" t="s">
        <v>290</v>
      </c>
      <c r="E6" s="3" t="s">
        <v>288</v>
      </c>
      <c r="F6" s="3" t="s">
        <v>86</v>
      </c>
    </row>
    <row r="7" customFormat="false" ht="31.5" hidden="false" customHeight="true" outlineLevel="0" collapsed="false">
      <c r="A7" s="5" t="s">
        <v>455</v>
      </c>
      <c r="B7" s="72" t="n">
        <f aca="false">'Assumptions Rev C'!$B$16</f>
        <v>15.49</v>
      </c>
      <c r="C7" s="73" t="n">
        <f aca="false">B7*'Assumptions Rev C'!$B$7</f>
        <v>17.946714</v>
      </c>
      <c r="D7" s="35" t="n">
        <f aca="false">C7*12</f>
        <v>215.360568</v>
      </c>
      <c r="E7" s="74" t="s">
        <v>456</v>
      </c>
      <c r="F7" s="32" t="s">
        <v>457</v>
      </c>
    </row>
    <row r="8" customFormat="false" ht="31.5" hidden="false" customHeight="true" outlineLevel="0" collapsed="false">
      <c r="A8" s="5" t="s">
        <v>458</v>
      </c>
      <c r="B8" s="72" t="n">
        <f aca="false">'Assumptions Rev C'!$B$17</f>
        <v>35.49</v>
      </c>
      <c r="C8" s="73" t="n">
        <f aca="false">B8*'Assumptions Rev C'!$B$7</f>
        <v>41.118714</v>
      </c>
      <c r="D8" s="35" t="n">
        <f aca="false">C8*12</f>
        <v>493.424568</v>
      </c>
      <c r="E8" s="75" t="s">
        <v>459</v>
      </c>
      <c r="F8" s="32" t="s">
        <v>460</v>
      </c>
    </row>
    <row r="9" customFormat="false" ht="31.5" hidden="false" customHeight="true" outlineLevel="0" collapsed="false">
      <c r="A9" s="5" t="s">
        <v>461</v>
      </c>
      <c r="B9" s="72" t="n">
        <f aca="false">'Assumptions Rev C'!$B$19</f>
        <v>5.72</v>
      </c>
      <c r="C9" s="73" t="n">
        <f aca="false">B9*'Assumptions Rev C'!$B$7</f>
        <v>6.627192</v>
      </c>
      <c r="D9" s="35" t="n">
        <f aca="false">C9*12</f>
        <v>79.526304</v>
      </c>
      <c r="E9" s="62" t="s">
        <v>462</v>
      </c>
      <c r="F9" s="32" t="s">
        <v>463</v>
      </c>
    </row>
    <row r="10" customFormat="false" ht="31.5" hidden="false" customHeight="true" outlineLevel="0" collapsed="false">
      <c r="A10" s="5" t="s">
        <v>464</v>
      </c>
      <c r="B10" s="72" t="n">
        <f aca="false">'Assumptions Rev C'!$B$20</f>
        <v>5.99</v>
      </c>
      <c r="C10" s="73" t="n">
        <f aca="false">B10*'Assumptions Rev C'!$B$7</f>
        <v>6.940014</v>
      </c>
      <c r="D10" s="35" t="n">
        <f aca="false">C10*12</f>
        <v>83.280168</v>
      </c>
      <c r="E10" s="62" t="s">
        <v>462</v>
      </c>
      <c r="F10" s="32" t="s">
        <v>465</v>
      </c>
    </row>
    <row r="11" customFormat="false" ht="31.5" hidden="false" customHeight="true" outlineLevel="0" collapsed="false">
      <c r="A11" s="5" t="s">
        <v>204</v>
      </c>
      <c r="B11" s="72" t="n">
        <f aca="false">'Assumptions Rev C'!$B$21</f>
        <v>3.8</v>
      </c>
      <c r="C11" s="73" t="n">
        <f aca="false">B11*'Assumptions Rev C'!$B$7</f>
        <v>4.40268</v>
      </c>
      <c r="D11" s="35" t="n">
        <f aca="false">C11*12</f>
        <v>52.83216</v>
      </c>
      <c r="E11" s="76" t="s">
        <v>466</v>
      </c>
      <c r="F11" s="32" t="s">
        <v>467</v>
      </c>
    </row>
    <row r="12" customFormat="false" ht="15" hidden="false" customHeight="false" outlineLevel="0" collapsed="false">
      <c r="A12" s="77" t="s">
        <v>468</v>
      </c>
      <c r="B12" s="78" t="n">
        <f aca="false">B7+B9+B10+B11</f>
        <v>31</v>
      </c>
      <c r="C12" s="65" t="n">
        <f aca="false">B12*'Assumptions Rev C'!$B$7</f>
        <v>35.9166</v>
      </c>
      <c r="D12" s="66" t="n">
        <f aca="false">C12*12</f>
        <v>430.9992</v>
      </c>
      <c r="E12" s="77"/>
      <c r="F12" s="79" t="s">
        <v>469</v>
      </c>
    </row>
    <row r="13" customFormat="false" ht="15" hidden="false" customHeight="false" outlineLevel="0" collapsed="false">
      <c r="A13" s="80" t="s">
        <v>470</v>
      </c>
      <c r="B13" s="80"/>
      <c r="C13" s="81" t="n">
        <f aca="false">'Assumptions Rev C'!$B$22</f>
        <v>32</v>
      </c>
      <c r="D13" s="82" t="n">
        <f aca="false">C13*12</f>
        <v>384</v>
      </c>
      <c r="E13" s="80"/>
      <c r="F13" s="83" t="s">
        <v>471</v>
      </c>
    </row>
    <row r="14" customFormat="false" ht="15" hidden="false" customHeight="false" outlineLevel="0" collapsed="false">
      <c r="A14" s="2" t="s">
        <v>472</v>
      </c>
      <c r="C14" s="84" t="n">
        <f aca="false">C13-C12</f>
        <v>-3.91660000000001</v>
      </c>
      <c r="F14" s="69" t="s">
        <v>473</v>
      </c>
    </row>
    <row r="16" customFormat="false" ht="15" hidden="false" customHeight="false" outlineLevel="0" collapsed="false">
      <c r="A16" s="9" t="s">
        <v>474</v>
      </c>
      <c r="B16" s="10"/>
      <c r="C16" s="10"/>
      <c r="D16" s="10"/>
      <c r="E16" s="10"/>
      <c r="F16" s="10"/>
    </row>
    <row r="17" customFormat="false" ht="30" hidden="false" customHeight="true" outlineLevel="0" collapsed="false">
      <c r="A17" s="3" t="s">
        <v>475</v>
      </c>
      <c r="B17" s="3" t="s">
        <v>454</v>
      </c>
      <c r="C17" s="3" t="s">
        <v>476</v>
      </c>
      <c r="D17" s="3" t="s">
        <v>477</v>
      </c>
      <c r="E17" s="3" t="s">
        <v>478</v>
      </c>
      <c r="F17" s="3" t="s">
        <v>479</v>
      </c>
    </row>
    <row r="18" customFormat="false" ht="30" hidden="false" customHeight="true" outlineLevel="0" collapsed="false">
      <c r="A18" s="26" t="s">
        <v>480</v>
      </c>
      <c r="B18" s="85" t="n">
        <f aca="false">'Assumptions Rev C'!$B$16</f>
        <v>15.49</v>
      </c>
      <c r="C18" s="86" t="n">
        <v>4</v>
      </c>
      <c r="D18" s="86" t="n">
        <v>8</v>
      </c>
      <c r="E18" s="86" t="n">
        <v>160</v>
      </c>
      <c r="F18" s="32" t="s">
        <v>481</v>
      </c>
    </row>
    <row r="19" customFormat="false" ht="30" hidden="false" customHeight="true" outlineLevel="0" collapsed="false">
      <c r="A19" s="26" t="s">
        <v>482</v>
      </c>
      <c r="B19" s="85" t="n">
        <f aca="false">'Assumptions Rev C'!$B$17</f>
        <v>35.49</v>
      </c>
      <c r="C19" s="86" t="n">
        <v>4</v>
      </c>
      <c r="D19" s="86" t="n">
        <v>8</v>
      </c>
      <c r="E19" s="86" t="n">
        <v>160</v>
      </c>
      <c r="F19" s="32" t="s">
        <v>483</v>
      </c>
    </row>
    <row r="20" customFormat="false" ht="30" hidden="false" customHeight="true" outlineLevel="0" collapsed="false">
      <c r="A20" s="26" t="s">
        <v>484</v>
      </c>
      <c r="B20" s="85" t="n">
        <f aca="false">'Assumptions Rev C'!$B$18</f>
        <v>15.99</v>
      </c>
      <c r="C20" s="86" t="n">
        <v>8</v>
      </c>
      <c r="D20" s="86" t="n">
        <v>16</v>
      </c>
      <c r="E20" s="86" t="n">
        <v>160</v>
      </c>
      <c r="F20" s="32" t="s">
        <v>485</v>
      </c>
    </row>
    <row r="21" customFormat="false" ht="19.4" hidden="false" customHeight="false" outlineLevel="0" collapsed="false">
      <c r="A21" s="87" t="s">
        <v>486</v>
      </c>
      <c r="B21" s="88" t="n">
        <f aca="false">B20-B18</f>
        <v>0.5</v>
      </c>
      <c r="C21" s="89"/>
      <c r="D21" s="89"/>
      <c r="E21" s="89"/>
      <c r="F21" s="90" t="s">
        <v>487</v>
      </c>
    </row>
    <row r="23" customFormat="false" ht="43.5" hidden="false" customHeight="true" outlineLevel="0" collapsed="false">
      <c r="A23" s="91" t="s">
        <v>488</v>
      </c>
      <c r="B23" s="91"/>
      <c r="C23" s="91"/>
      <c r="D23" s="91"/>
      <c r="E23" s="91"/>
      <c r="F23" s="91"/>
    </row>
    <row r="25" customFormat="false" ht="15" hidden="false" customHeight="false" outlineLevel="0" collapsed="false">
      <c r="A25" s="9" t="s">
        <v>489</v>
      </c>
      <c r="B25" s="10"/>
      <c r="C25" s="10"/>
      <c r="D25" s="10"/>
      <c r="E25" s="10"/>
      <c r="F25" s="10"/>
    </row>
    <row r="26" customFormat="false" ht="57.75" hidden="false" customHeight="true" outlineLevel="0" collapsed="false">
      <c r="A26" s="92" t="s">
        <v>490</v>
      </c>
      <c r="B26" s="92"/>
      <c r="C26" s="92"/>
      <c r="D26" s="92"/>
      <c r="E26" s="92"/>
      <c r="F26" s="92"/>
    </row>
    <row r="28" customFormat="false" ht="30" hidden="false" customHeight="true" outlineLevel="0" collapsed="false">
      <c r="A28" s="3" t="s">
        <v>475</v>
      </c>
      <c r="B28" s="3" t="s">
        <v>491</v>
      </c>
      <c r="C28" s="3" t="s">
        <v>289</v>
      </c>
      <c r="D28" s="3" t="s">
        <v>290</v>
      </c>
      <c r="E28" s="3" t="s">
        <v>492</v>
      </c>
      <c r="F28" s="3" t="s">
        <v>493</v>
      </c>
    </row>
    <row r="29" customFormat="false" ht="45.75" hidden="false" customHeight="true" outlineLevel="0" collapsed="false">
      <c r="A29" s="5" t="s">
        <v>494</v>
      </c>
      <c r="B29" s="29" t="s">
        <v>495</v>
      </c>
      <c r="C29" s="59" t="n">
        <v>0</v>
      </c>
      <c r="D29" s="35" t="n">
        <f aca="false">C29*12</f>
        <v>0</v>
      </c>
      <c r="E29" s="26" t="s">
        <v>496</v>
      </c>
      <c r="F29" s="32" t="s">
        <v>497</v>
      </c>
    </row>
    <row r="30" customFormat="false" ht="45.75" hidden="false" customHeight="true" outlineLevel="0" collapsed="false">
      <c r="A30" s="93" t="s">
        <v>498</v>
      </c>
      <c r="B30" s="94" t="s">
        <v>499</v>
      </c>
      <c r="C30" s="95" t="n">
        <v>22.23</v>
      </c>
      <c r="D30" s="96" t="n">
        <f aca="false">C30*12</f>
        <v>266.76</v>
      </c>
      <c r="E30" s="97" t="s">
        <v>500</v>
      </c>
      <c r="F30" s="90" t="s">
        <v>501</v>
      </c>
    </row>
    <row r="31" customFormat="false" ht="45.75" hidden="false" customHeight="true" outlineLevel="0" collapsed="false">
      <c r="A31" s="5" t="s">
        <v>502</v>
      </c>
      <c r="B31" s="29" t="s">
        <v>503</v>
      </c>
      <c r="C31" s="59" t="n">
        <v>99.63</v>
      </c>
      <c r="D31" s="35" t="n">
        <f aca="false">C31*12</f>
        <v>1195.56</v>
      </c>
      <c r="E31" s="26" t="s">
        <v>500</v>
      </c>
      <c r="F31" s="32" t="s">
        <v>504</v>
      </c>
    </row>
    <row r="32" customFormat="false" ht="45.75" hidden="false" customHeight="true" outlineLevel="0" collapsed="false">
      <c r="A32" s="5" t="s">
        <v>505</v>
      </c>
      <c r="B32" s="29" t="s">
        <v>506</v>
      </c>
      <c r="C32" s="59" t="n">
        <v>77.38</v>
      </c>
      <c r="D32" s="35" t="n">
        <f aca="false">C32*12</f>
        <v>928.56</v>
      </c>
      <c r="E32" s="26" t="s">
        <v>507</v>
      </c>
      <c r="F32" s="32" t="s">
        <v>508</v>
      </c>
    </row>
    <row r="33" customFormat="false" ht="45.75" hidden="false" customHeight="true" outlineLevel="0" collapsed="false">
      <c r="A33" s="5" t="s">
        <v>509</v>
      </c>
      <c r="B33" s="29" t="s">
        <v>510</v>
      </c>
      <c r="C33" s="59" t="n">
        <v>25</v>
      </c>
      <c r="D33" s="35" t="n">
        <f aca="false">C33*12</f>
        <v>300</v>
      </c>
      <c r="E33" s="26" t="s">
        <v>507</v>
      </c>
      <c r="F33" s="32" t="s">
        <v>511</v>
      </c>
    </row>
    <row r="35" customFormat="false" ht="15" hidden="false" customHeight="false" outlineLevel="0" collapsed="false">
      <c r="A35" s="80" t="s">
        <v>512</v>
      </c>
      <c r="B35" s="98" t="str">
        <f aca="false">'Assumptions Rev C'!$B$24</f>
        <v>B</v>
      </c>
      <c r="C35" s="99" t="n">
        <f aca="false">'Assumptions Rev C'!$B$26</f>
        <v>22.23</v>
      </c>
      <c r="D35" s="100" t="n">
        <f aca="false">C35*12</f>
        <v>266.76</v>
      </c>
      <c r="E35" s="101" t="str">
        <f aca="false">"from month "&amp;'Assumptions Rev C'!$B$25</f>
        <v>from month 7</v>
      </c>
      <c r="F35" s="83" t="s">
        <v>513</v>
      </c>
    </row>
    <row r="37" customFormat="false" ht="57.75" hidden="false" customHeight="true" outlineLevel="0" collapsed="false">
      <c r="A37" s="91" t="s">
        <v>514</v>
      </c>
      <c r="B37" s="91"/>
      <c r="C37" s="91"/>
      <c r="D37" s="91"/>
      <c r="E37" s="91"/>
      <c r="F37" s="91"/>
    </row>
  </sheetData>
  <mergeCells count="5">
    <mergeCell ref="A3:F3"/>
    <mergeCell ref="A4:F4"/>
    <mergeCell ref="A23:F23"/>
    <mergeCell ref="A26:F26"/>
    <mergeCell ref="A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6" min="3" style="0" width="13"/>
    <col collapsed="false" customWidth="true" hidden="false" outlineLevel="0" max="7" min="7" style="0" width="60"/>
  </cols>
  <sheetData>
    <row r="1" customFormat="false" ht="21.75" hidden="false" customHeight="true" outlineLevel="0" collapsed="false">
      <c r="A1" s="1" t="s">
        <v>515</v>
      </c>
      <c r="B1" s="1"/>
      <c r="C1" s="1"/>
      <c r="D1" s="1"/>
      <c r="E1" s="1"/>
      <c r="F1" s="1"/>
      <c r="G1" s="1"/>
    </row>
    <row r="2" customFormat="false" ht="43.5" hidden="false" customHeight="true" outlineLevel="0" collapsed="false">
      <c r="A2" s="92" t="s">
        <v>516</v>
      </c>
      <c r="B2" s="92"/>
      <c r="C2" s="92"/>
      <c r="D2" s="92"/>
      <c r="E2" s="92"/>
      <c r="F2" s="92"/>
      <c r="G2" s="92"/>
    </row>
    <row r="4" customFormat="false" ht="15" hidden="false" customHeight="false" outlineLevel="0" collapsed="false">
      <c r="A4" s="9" t="s">
        <v>517</v>
      </c>
      <c r="B4" s="10"/>
      <c r="C4" s="10"/>
      <c r="D4" s="10"/>
      <c r="E4" s="10"/>
      <c r="F4" s="10"/>
      <c r="G4" s="10"/>
    </row>
    <row r="5" customFormat="false" ht="30" hidden="false" customHeight="true" outlineLevel="0" collapsed="false">
      <c r="A5" s="3" t="s">
        <v>518</v>
      </c>
      <c r="B5" s="3" t="s">
        <v>519</v>
      </c>
      <c r="C5" s="3" t="s">
        <v>520</v>
      </c>
      <c r="D5" s="3" t="s">
        <v>521</v>
      </c>
      <c r="E5" s="3" t="s">
        <v>522</v>
      </c>
      <c r="F5" s="3" t="s">
        <v>523</v>
      </c>
      <c r="G5" s="3" t="s">
        <v>524</v>
      </c>
    </row>
    <row r="6" customFormat="false" ht="37.5" hidden="false" customHeight="true" outlineLevel="0" collapsed="false">
      <c r="A6" s="34" t="s">
        <v>525</v>
      </c>
      <c r="B6" s="5" t="s">
        <v>526</v>
      </c>
      <c r="C6" s="59" t="n">
        <v>0.2</v>
      </c>
      <c r="D6" s="59" t="n">
        <v>1.2</v>
      </c>
      <c r="E6" s="102" t="n">
        <f aca="false">IFERROR(C6/$C$6,0)</f>
        <v>1</v>
      </c>
      <c r="F6" s="73" t="n">
        <f aca="false">'Assumptions Rev C'!$B$30</f>
        <v>40</v>
      </c>
      <c r="G6" s="32" t="s">
        <v>527</v>
      </c>
    </row>
    <row r="7" customFormat="false" ht="37.5" hidden="false" customHeight="true" outlineLevel="0" collapsed="false">
      <c r="A7" s="34" t="s">
        <v>528</v>
      </c>
      <c r="B7" s="5" t="s">
        <v>529</v>
      </c>
      <c r="C7" s="59" t="n">
        <v>2</v>
      </c>
      <c r="D7" s="59" t="n">
        <v>12</v>
      </c>
      <c r="E7" s="102" t="n">
        <f aca="false">IFERROR(C7/$C$6,0)</f>
        <v>10</v>
      </c>
      <c r="F7" s="73" t="n">
        <f aca="false">'Assumptions Rev C'!$B$30</f>
        <v>40</v>
      </c>
      <c r="G7" s="32" t="s">
        <v>530</v>
      </c>
    </row>
    <row r="8" customFormat="false" ht="37.5" hidden="false" customHeight="true" outlineLevel="0" collapsed="false">
      <c r="A8" s="34" t="s">
        <v>531</v>
      </c>
      <c r="B8" s="5" t="s">
        <v>532</v>
      </c>
      <c r="C8" s="59" t="n">
        <v>5</v>
      </c>
      <c r="D8" s="59" t="n">
        <v>30</v>
      </c>
      <c r="E8" s="102" t="n">
        <f aca="false">IFERROR(C8/$C$6,0)</f>
        <v>25</v>
      </c>
      <c r="F8" s="73" t="n">
        <f aca="false">'Assumptions Rev C'!$B$30</f>
        <v>40</v>
      </c>
      <c r="G8" s="32" t="s">
        <v>533</v>
      </c>
    </row>
    <row r="9" customFormat="false" ht="37.5" hidden="false" customHeight="true" outlineLevel="0" collapsed="false">
      <c r="A9" s="34" t="s">
        <v>534</v>
      </c>
      <c r="B9" s="5" t="s">
        <v>535</v>
      </c>
      <c r="C9" s="59" t="n">
        <v>1</v>
      </c>
      <c r="D9" s="59" t="n">
        <v>5</v>
      </c>
      <c r="E9" s="102" t="n">
        <f aca="false">IFERROR(C9/$C$6,0)</f>
        <v>5</v>
      </c>
      <c r="F9" s="73" t="n">
        <f aca="false">'Assumptions Rev C'!$B$30</f>
        <v>40</v>
      </c>
      <c r="G9" s="32" t="s">
        <v>536</v>
      </c>
    </row>
    <row r="10" customFormat="false" ht="37.5" hidden="false" customHeight="true" outlineLevel="0" collapsed="false">
      <c r="A10" s="34" t="s">
        <v>537</v>
      </c>
      <c r="B10" s="5" t="s">
        <v>538</v>
      </c>
      <c r="C10" s="59" t="n">
        <v>3</v>
      </c>
      <c r="D10" s="59" t="n">
        <v>15</v>
      </c>
      <c r="E10" s="102" t="n">
        <f aca="false">IFERROR(C10/$C$6,0)</f>
        <v>15</v>
      </c>
      <c r="F10" s="73" t="n">
        <f aca="false">'Assumptions Rev C'!$B$30</f>
        <v>40</v>
      </c>
      <c r="G10" s="32" t="s">
        <v>539</v>
      </c>
    </row>
    <row r="11" customFormat="false" ht="37.5" hidden="false" customHeight="true" outlineLevel="0" collapsed="false">
      <c r="A11" s="34" t="s">
        <v>540</v>
      </c>
      <c r="B11" s="5" t="s">
        <v>541</v>
      </c>
      <c r="C11" s="59" t="n">
        <v>1.65</v>
      </c>
      <c r="D11" s="59" t="n">
        <v>8.25</v>
      </c>
      <c r="E11" s="102" t="n">
        <f aca="false">IFERROR(C11/$C$6,0)</f>
        <v>8.25</v>
      </c>
      <c r="F11" s="73" t="n">
        <f aca="false">'Assumptions Rev C'!$B$30</f>
        <v>40</v>
      </c>
      <c r="G11" s="32" t="s">
        <v>542</v>
      </c>
    </row>
    <row r="12" customFormat="false" ht="37.5" hidden="false" customHeight="true" outlineLevel="0" collapsed="false">
      <c r="A12" s="34" t="s">
        <v>543</v>
      </c>
      <c r="B12" s="5" t="s">
        <v>544</v>
      </c>
      <c r="C12" s="59" t="n">
        <v>2</v>
      </c>
      <c r="D12" s="59" t="n">
        <v>6</v>
      </c>
      <c r="E12" s="102" t="n">
        <f aca="false">IFERROR(C12/$C$6,0)</f>
        <v>10</v>
      </c>
      <c r="F12" s="73" t="n">
        <f aca="false">'Assumptions Rev C'!$B$30</f>
        <v>40</v>
      </c>
      <c r="G12" s="32" t="s">
        <v>545</v>
      </c>
    </row>
    <row r="13" customFormat="false" ht="15" hidden="false" customHeight="false" outlineLevel="0" collapsed="false">
      <c r="A13" s="80" t="s">
        <v>546</v>
      </c>
      <c r="B13" s="103" t="n">
        <f aca="false">COUNTA(A6:A12)</f>
        <v>7</v>
      </c>
      <c r="C13" s="80"/>
      <c r="D13" s="80"/>
      <c r="E13" s="80"/>
      <c r="F13" s="81" t="n">
        <f aca="false">SUM(F6:F12)</f>
        <v>280</v>
      </c>
      <c r="G13" s="80" t="s">
        <v>547</v>
      </c>
    </row>
    <row r="14" customFormat="false" ht="15" hidden="false" customHeight="false" outlineLevel="0" collapsed="false">
      <c r="A14" s="2" t="s">
        <v>548</v>
      </c>
      <c r="F14" s="84" t="n">
        <f aca="false">'Assumptions Rev C'!$B$32</f>
        <v>280</v>
      </c>
      <c r="G14" s="104" t="str">
        <f aca="false">IF(ROUND(F13,2)=ROUND(F14,2),"AGREES","MISMATCH — fix the model count on Assumptions Rev C")</f>
        <v>AGREES</v>
      </c>
    </row>
    <row r="16" customFormat="false" ht="43.5" hidden="false" customHeight="true" outlineLevel="0" collapsed="false">
      <c r="A16" s="105" t="s">
        <v>549</v>
      </c>
      <c r="B16" s="105"/>
      <c r="C16" s="105"/>
      <c r="D16" s="105"/>
      <c r="E16" s="105"/>
      <c r="F16" s="105"/>
      <c r="G16" s="105"/>
    </row>
    <row r="18" customFormat="false" ht="15" hidden="false" customHeight="false" outlineLevel="0" collapsed="false">
      <c r="A18" s="9" t="s">
        <v>550</v>
      </c>
      <c r="B18" s="10"/>
      <c r="C18" s="10"/>
      <c r="D18" s="10"/>
      <c r="E18" s="10"/>
      <c r="F18" s="10"/>
      <c r="G18" s="10"/>
    </row>
    <row r="19" customFormat="false" ht="30" hidden="false" customHeight="true" outlineLevel="0" collapsed="false">
      <c r="A19" s="3" t="s">
        <v>551</v>
      </c>
      <c r="B19" s="3" t="s">
        <v>82</v>
      </c>
      <c r="C19" s="3" t="s">
        <v>83</v>
      </c>
      <c r="D19" s="3" t="s">
        <v>84</v>
      </c>
      <c r="E19" s="3" t="s">
        <v>552</v>
      </c>
      <c r="F19" s="3"/>
      <c r="G19" s="3" t="s">
        <v>123</v>
      </c>
    </row>
    <row r="20" customFormat="false" ht="15" hidden="false" customHeight="false" outlineLevel="0" collapsed="false">
      <c r="A20" s="2" t="s">
        <v>553</v>
      </c>
      <c r="B20" s="16" t="n">
        <v>349</v>
      </c>
      <c r="C20" s="16" t="n">
        <v>1136</v>
      </c>
      <c r="D20" s="16" t="n">
        <v>7797</v>
      </c>
      <c r="E20" s="106" t="n">
        <f aca="false">SUM(B20:D20)</f>
        <v>9282</v>
      </c>
      <c r="G20" s="69" t="s">
        <v>554</v>
      </c>
    </row>
    <row r="21" customFormat="false" ht="15" hidden="false" customHeight="false" outlineLevel="0" collapsed="false">
      <c r="A21" s="2" t="s">
        <v>555</v>
      </c>
      <c r="B21" s="16" t="n">
        <v>627</v>
      </c>
      <c r="C21" s="16" t="n">
        <v>1292</v>
      </c>
      <c r="D21" s="16" t="n">
        <v>8398</v>
      </c>
      <c r="E21" s="106" t="n">
        <f aca="false">SUM(B21:D21)</f>
        <v>10317</v>
      </c>
      <c r="G21" s="69" t="s">
        <v>556</v>
      </c>
    </row>
    <row r="22" customFormat="false" ht="15" hidden="false" customHeight="false" outlineLevel="0" collapsed="false">
      <c r="A22" s="17" t="s">
        <v>557</v>
      </c>
      <c r="B22" s="14" t="n">
        <f aca="false">B21*'Assumptions Rev C'!$B$35</f>
        <v>250.8</v>
      </c>
      <c r="C22" s="14" t="n">
        <f aca="false">C21*'Assumptions Rev C'!$B$35</f>
        <v>516.8</v>
      </c>
      <c r="D22" s="14" t="n">
        <f aca="false">D21*'Assumptions Rev C'!$B$35</f>
        <v>3359.2</v>
      </c>
      <c r="E22" s="14" t="n">
        <f aca="false">SUM(B22:D22)</f>
        <v>4126.8</v>
      </c>
      <c r="G22" s="69" t="s">
        <v>558</v>
      </c>
    </row>
    <row r="23" customFormat="false" ht="15" hidden="false" customHeight="false" outlineLevel="0" collapsed="false">
      <c r="A23" s="107" t="s">
        <v>559</v>
      </c>
      <c r="B23" s="15" t="n">
        <f aca="false">B21-B22</f>
        <v>376.2</v>
      </c>
      <c r="C23" s="15" t="n">
        <f aca="false">C21-C22</f>
        <v>775.2</v>
      </c>
      <c r="D23" s="15" t="n">
        <f aca="false">D21-D22</f>
        <v>5038.8</v>
      </c>
      <c r="E23" s="15" t="n">
        <f aca="false">SUM(B23:D23)</f>
        <v>6190.2</v>
      </c>
      <c r="F23" s="107"/>
      <c r="G23" s="108" t="s">
        <v>560</v>
      </c>
    </row>
    <row r="24" customFormat="false" ht="15" hidden="false" customHeight="false" outlineLevel="0" collapsed="false">
      <c r="A24" s="2" t="s">
        <v>561</v>
      </c>
      <c r="B24" s="109" t="n">
        <f aca="false">IFERROR(1-B22/B21,0)</f>
        <v>0.6</v>
      </c>
      <c r="C24" s="109" t="n">
        <f aca="false">IFERROR(1-C22/C21,0)</f>
        <v>0.6</v>
      </c>
      <c r="D24" s="109" t="n">
        <f aca="false">IFERROR(1-D22/D21,0)</f>
        <v>0.6</v>
      </c>
    </row>
    <row r="26" customFormat="false" ht="15" hidden="false" customHeight="false" outlineLevel="0" collapsed="false">
      <c r="A26" s="9" t="s">
        <v>562</v>
      </c>
      <c r="B26" s="10"/>
      <c r="C26" s="10"/>
      <c r="D26" s="10"/>
      <c r="E26" s="10"/>
      <c r="F26" s="10"/>
      <c r="G26" s="10"/>
    </row>
    <row r="27" customFormat="false" ht="30" hidden="false" customHeight="true" outlineLevel="0" collapsed="false">
      <c r="A27" s="3" t="s">
        <v>146</v>
      </c>
      <c r="B27" s="3" t="s">
        <v>563</v>
      </c>
      <c r="C27" s="3" t="s">
        <v>564</v>
      </c>
      <c r="D27" s="3" t="s">
        <v>565</v>
      </c>
      <c r="E27" s="3"/>
      <c r="F27" s="3"/>
      <c r="G27" s="3" t="s">
        <v>566</v>
      </c>
    </row>
    <row r="28" customFormat="false" ht="31.5" hidden="false" customHeight="true" outlineLevel="0" collapsed="false">
      <c r="A28" s="26" t="s">
        <v>567</v>
      </c>
      <c r="B28" s="26" t="s">
        <v>568</v>
      </c>
      <c r="C28" s="110" t="n">
        <v>1</v>
      </c>
      <c r="D28" s="35" t="n">
        <f aca="false">$B$22*C28</f>
        <v>250.8</v>
      </c>
      <c r="E28" s="28"/>
      <c r="F28" s="28"/>
      <c r="G28" s="32" t="s">
        <v>569</v>
      </c>
    </row>
    <row r="29" customFormat="false" ht="31.5" hidden="false" customHeight="true" outlineLevel="0" collapsed="false">
      <c r="A29" s="26" t="s">
        <v>570</v>
      </c>
      <c r="B29" s="26" t="s">
        <v>571</v>
      </c>
      <c r="C29" s="110" t="n">
        <v>4.55</v>
      </c>
      <c r="D29" s="35" t="n">
        <f aca="false">$B$22*C29</f>
        <v>1141.14</v>
      </c>
      <c r="E29" s="28"/>
      <c r="F29" s="28"/>
      <c r="G29" s="32" t="s">
        <v>572</v>
      </c>
    </row>
    <row r="30" customFormat="false" ht="31.5" hidden="false" customHeight="true" outlineLevel="0" collapsed="false">
      <c r="A30" s="26" t="s">
        <v>573</v>
      </c>
      <c r="B30" s="26" t="s">
        <v>571</v>
      </c>
      <c r="C30" s="110" t="n">
        <v>1.35</v>
      </c>
      <c r="D30" s="35" t="n">
        <f aca="false">$B$22*C30</f>
        <v>338.58</v>
      </c>
      <c r="E30" s="28"/>
      <c r="F30" s="28"/>
      <c r="G30" s="32" t="s">
        <v>574</v>
      </c>
    </row>
    <row r="31" customFormat="false" ht="31.5" hidden="false" customHeight="true" outlineLevel="0" collapsed="false">
      <c r="A31" s="26" t="s">
        <v>575</v>
      </c>
      <c r="B31" s="26" t="s">
        <v>318</v>
      </c>
      <c r="C31" s="110" t="n">
        <v>7.85</v>
      </c>
      <c r="D31" s="35" t="n">
        <f aca="false">$B$22*C31</f>
        <v>1968.78</v>
      </c>
      <c r="E31" s="28"/>
      <c r="F31" s="28"/>
      <c r="G31" s="32" t="s">
        <v>576</v>
      </c>
    </row>
    <row r="33" customFormat="false" ht="43.5" hidden="false" customHeight="true" outlineLevel="0" collapsed="false">
      <c r="A33" s="105" t="s">
        <v>577</v>
      </c>
      <c r="B33" s="105"/>
      <c r="C33" s="105"/>
      <c r="D33" s="105"/>
      <c r="E33" s="105"/>
      <c r="F33" s="105"/>
      <c r="G33" s="105"/>
    </row>
    <row r="35" customFormat="false" ht="15" hidden="false" customHeight="false" outlineLevel="0" collapsed="false">
      <c r="A35" s="9" t="s">
        <v>578</v>
      </c>
      <c r="B35" s="10"/>
      <c r="C35" s="10"/>
      <c r="D35" s="10"/>
      <c r="E35" s="10"/>
      <c r="F35" s="10"/>
      <c r="G35" s="10"/>
    </row>
    <row r="36" customFormat="false" ht="30" hidden="false" customHeight="true" outlineLevel="0" collapsed="false">
      <c r="A36" s="3" t="s">
        <v>579</v>
      </c>
      <c r="B36" s="3" t="s">
        <v>580</v>
      </c>
      <c r="C36" s="3" t="s">
        <v>581</v>
      </c>
      <c r="D36" s="3"/>
      <c r="E36" s="3"/>
      <c r="F36" s="3"/>
      <c r="G36" s="3"/>
    </row>
    <row r="37" customFormat="false" ht="15" hidden="false" customHeight="false" outlineLevel="0" collapsed="false">
      <c r="A37" s="2" t="s">
        <v>582</v>
      </c>
      <c r="B37" s="106" t="n">
        <f aca="false">B22</f>
        <v>250.8</v>
      </c>
      <c r="C37" s="109" t="n">
        <f aca="false">IFERROR(B37/$B$40,0)</f>
        <v>0.0655001305823975</v>
      </c>
    </row>
    <row r="38" customFormat="false" ht="15" hidden="false" customHeight="false" outlineLevel="0" collapsed="false">
      <c r="A38" s="2" t="s">
        <v>583</v>
      </c>
      <c r="B38" s="106" t="n">
        <f aca="false">('Assumptions Rev C'!$B$28+'Assumptions Rev C'!$B$29)*12</f>
        <v>3298.2</v>
      </c>
      <c r="C38" s="109" t="n">
        <f aca="false">IFERROR(B38/$B$40,0)</f>
        <v>0.861373726821624</v>
      </c>
    </row>
    <row r="39" customFormat="false" ht="15" hidden="false" customHeight="false" outlineLevel="0" collapsed="false">
      <c r="A39" s="2" t="s">
        <v>584</v>
      </c>
      <c r="B39" s="106" t="n">
        <f aca="false">'Assumptions Rev C'!$B$32</f>
        <v>280</v>
      </c>
      <c r="C39" s="109" t="n">
        <f aca="false">IFERROR(B39/$B$40,0)</f>
        <v>0.0731261425959781</v>
      </c>
    </row>
    <row r="40" customFormat="false" ht="15" hidden="false" customHeight="false" outlineLevel="0" collapsed="false">
      <c r="A40" s="80" t="s">
        <v>585</v>
      </c>
      <c r="B40" s="82" t="n">
        <f aca="false">SUM(B37:B39)</f>
        <v>3829</v>
      </c>
      <c r="C40" s="80"/>
      <c r="D40" s="80"/>
      <c r="E40" s="80"/>
      <c r="F40" s="80"/>
      <c r="G40" s="80"/>
    </row>
    <row r="42" customFormat="false" ht="72" hidden="false" customHeight="true" outlineLevel="0" collapsed="false">
      <c r="A42" s="91" t="s">
        <v>586</v>
      </c>
      <c r="B42" s="91"/>
      <c r="C42" s="91"/>
      <c r="D42" s="91"/>
      <c r="E42" s="91"/>
      <c r="F42" s="91"/>
      <c r="G42" s="91"/>
    </row>
    <row r="44" customFormat="false" ht="57.75" hidden="false" customHeight="true" outlineLevel="0" collapsed="false">
      <c r="A44" s="91" t="s">
        <v>587</v>
      </c>
      <c r="B44" s="91"/>
      <c r="C44" s="91"/>
      <c r="D44" s="91"/>
      <c r="E44" s="91"/>
      <c r="F44" s="91"/>
      <c r="G44" s="91"/>
    </row>
  </sheetData>
  <mergeCells count="5">
    <mergeCell ref="A2:G2"/>
    <mergeCell ref="A16:G16"/>
    <mergeCell ref="A33:G33"/>
    <mergeCell ref="A42:G42"/>
    <mergeCell ref="A44:G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6" min="2" style="0" width="15"/>
    <col collapsed="false" customWidth="true" hidden="false" outlineLevel="0" max="7" min="7" style="0" width="58"/>
  </cols>
  <sheetData>
    <row r="1" customFormat="false" ht="21.75" hidden="false" customHeight="true" outlineLevel="0" collapsed="false">
      <c r="A1" s="1" t="s">
        <v>588</v>
      </c>
      <c r="B1" s="1"/>
      <c r="C1" s="1"/>
      <c r="D1" s="1"/>
      <c r="E1" s="1"/>
      <c r="F1" s="1"/>
      <c r="G1" s="1"/>
    </row>
    <row r="2" customFormat="false" ht="31.5" hidden="false" customHeight="true" outlineLevel="0" collapsed="false">
      <c r="A2" s="92" t="s">
        <v>589</v>
      </c>
      <c r="B2" s="92"/>
      <c r="C2" s="92"/>
      <c r="D2" s="92"/>
      <c r="E2" s="92"/>
      <c r="F2" s="92"/>
      <c r="G2" s="92"/>
    </row>
    <row r="4" customFormat="false" ht="15" hidden="false" customHeight="false" outlineLevel="0" collapsed="false">
      <c r="A4" s="9" t="s">
        <v>590</v>
      </c>
      <c r="B4" s="10"/>
      <c r="C4" s="10"/>
      <c r="D4" s="10"/>
      <c r="E4" s="10"/>
      <c r="F4" s="10"/>
      <c r="G4" s="10"/>
    </row>
    <row r="5" customFormat="false" ht="30" hidden="false" customHeight="true" outlineLevel="0" collapsed="false">
      <c r="A5" s="3" t="s">
        <v>591</v>
      </c>
      <c r="B5" s="3" t="s">
        <v>170</v>
      </c>
      <c r="C5" s="3" t="s">
        <v>171</v>
      </c>
      <c r="D5" s="3"/>
      <c r="E5" s="3"/>
      <c r="F5" s="3"/>
      <c r="G5" s="3" t="s">
        <v>86</v>
      </c>
    </row>
    <row r="6" customFormat="false" ht="19.4" hidden="false" customHeight="false" outlineLevel="0" collapsed="false">
      <c r="A6" s="26" t="s">
        <v>592</v>
      </c>
      <c r="B6" s="111" t="n">
        <f aca="false">'Assumptions Rev C'!$B$37</f>
        <v>3</v>
      </c>
      <c r="C6" s="26" t="s">
        <v>182</v>
      </c>
      <c r="D6" s="28"/>
      <c r="E6" s="28"/>
      <c r="F6" s="28"/>
      <c r="G6" s="32" t="s">
        <v>593</v>
      </c>
    </row>
    <row r="7" customFormat="false" ht="15" hidden="false" customHeight="false" outlineLevel="0" collapsed="false">
      <c r="A7" s="26" t="s">
        <v>243</v>
      </c>
      <c r="B7" s="111" t="n">
        <f aca="false">'Assumptions Rev C'!$B$38</f>
        <v>2</v>
      </c>
      <c r="C7" s="26" t="s">
        <v>244</v>
      </c>
      <c r="D7" s="28"/>
      <c r="E7" s="28"/>
      <c r="F7" s="28"/>
      <c r="G7" s="32" t="s">
        <v>245</v>
      </c>
    </row>
    <row r="8" customFormat="false" ht="15" hidden="false" customHeight="false" outlineLevel="0" collapsed="false">
      <c r="A8" s="26" t="s">
        <v>594</v>
      </c>
      <c r="B8" s="111" t="n">
        <f aca="false">'Assumptions Rev C'!$B$39</f>
        <v>30.44</v>
      </c>
      <c r="C8" s="26" t="s">
        <v>247</v>
      </c>
      <c r="D8" s="28"/>
      <c r="E8" s="28"/>
      <c r="F8" s="28"/>
      <c r="G8" s="32" t="s">
        <v>595</v>
      </c>
    </row>
    <row r="9" customFormat="false" ht="15" hidden="false" customHeight="false" outlineLevel="0" collapsed="false">
      <c r="A9" s="26" t="s">
        <v>596</v>
      </c>
      <c r="B9" s="111" t="n">
        <f aca="false">'Assumptions Rev C'!$B$42</f>
        <v>182.64</v>
      </c>
      <c r="C9" s="26" t="s">
        <v>244</v>
      </c>
      <c r="D9" s="28"/>
      <c r="E9" s="28"/>
      <c r="F9" s="28"/>
      <c r="G9" s="32" t="s">
        <v>597</v>
      </c>
    </row>
    <row r="10" customFormat="false" ht="15" hidden="false" customHeight="false" outlineLevel="0" collapsed="false">
      <c r="A10" s="26" t="s">
        <v>598</v>
      </c>
      <c r="B10" s="112" t="n">
        <f aca="false">'Assumptions Rev C'!$B$40</f>
        <v>150</v>
      </c>
      <c r="C10" s="26" t="s">
        <v>250</v>
      </c>
      <c r="D10" s="28"/>
      <c r="E10" s="28"/>
      <c r="F10" s="28"/>
      <c r="G10" s="32" t="s">
        <v>599</v>
      </c>
    </row>
    <row r="11" customFormat="false" ht="15" hidden="false" customHeight="false" outlineLevel="0" collapsed="false">
      <c r="A11" s="80" t="s">
        <v>600</v>
      </c>
      <c r="B11" s="113" t="n">
        <f aca="false">'Assumptions Rev C'!$B$43</f>
        <v>27396</v>
      </c>
      <c r="C11" s="81" t="n">
        <f aca="false">'Assumptions Rev C'!$B$44</f>
        <v>1690.06785934608</v>
      </c>
      <c r="D11" s="80"/>
      <c r="E11" s="80"/>
      <c r="F11" s="80"/>
      <c r="G11" s="80"/>
    </row>
    <row r="12" customFormat="false" ht="15" hidden="false" customHeight="false" outlineLevel="0" collapsed="false">
      <c r="A12" s="80" t="s">
        <v>601</v>
      </c>
      <c r="B12" s="113" t="n">
        <f aca="false">B11*12</f>
        <v>328752</v>
      </c>
      <c r="C12" s="82" t="n">
        <f aca="false">C11*12</f>
        <v>20280.814312153</v>
      </c>
      <c r="D12" s="80"/>
      <c r="E12" s="80"/>
      <c r="F12" s="80"/>
      <c r="G12" s="80"/>
    </row>
    <row r="13" customFormat="false" ht="15" hidden="false" customHeight="false" outlineLevel="0" collapsed="false">
      <c r="A13" s="2" t="s">
        <v>602</v>
      </c>
      <c r="C13" s="84" t="n">
        <f aca="false">IFERROR(C12/'Assumptions Rev C'!$B$9,0)</f>
        <v>2.60344214533415</v>
      </c>
      <c r="G13" s="69" t="s">
        <v>603</v>
      </c>
    </row>
    <row r="14" customFormat="false" ht="15" hidden="false" customHeight="false" outlineLevel="0" collapsed="false">
      <c r="A14" s="2" t="s">
        <v>604</v>
      </c>
      <c r="C14" s="30" t="n">
        <f aca="false">ROUNDUP(C11/5,0)</f>
        <v>339</v>
      </c>
      <c r="G14" s="69" t="s">
        <v>605</v>
      </c>
    </row>
    <row r="16" customFormat="false" ht="15" hidden="false" customHeight="false" outlineLevel="0" collapsed="false">
      <c r="A16" s="9" t="s">
        <v>606</v>
      </c>
      <c r="B16" s="10"/>
      <c r="C16" s="10"/>
      <c r="D16" s="10"/>
      <c r="E16" s="10"/>
      <c r="F16" s="10"/>
      <c r="G16" s="10"/>
    </row>
    <row r="17" customFormat="false" ht="15" hidden="false" customHeight="false" outlineLevel="0" collapsed="false">
      <c r="A17" s="69" t="s">
        <v>607</v>
      </c>
      <c r="B17" s="69" t="s">
        <v>608</v>
      </c>
      <c r="C17" s="69" t="s">
        <v>609</v>
      </c>
      <c r="D17" s="69" t="s">
        <v>610</v>
      </c>
    </row>
    <row r="18" customFormat="false" ht="15" hidden="false" customHeight="false" outlineLevel="0" collapsed="false">
      <c r="A18" s="114" t="s">
        <v>611</v>
      </c>
      <c r="B18" s="115" t="n">
        <v>21.7</v>
      </c>
      <c r="C18" s="115" t="n">
        <v>26</v>
      </c>
      <c r="D18" s="115" t="n">
        <v>30.44</v>
      </c>
      <c r="E18" s="114"/>
    </row>
    <row r="19" customFormat="false" ht="15" hidden="false" customHeight="false" outlineLevel="0" collapsed="false">
      <c r="A19" s="116" t="n">
        <v>100</v>
      </c>
      <c r="B19" s="117" t="n">
        <f aca="false">($A19*'Assumptions Rev C'!$B$37*'Assumptions Rev C'!$B$38*B$18)/'Assumptions Rev C'!$B$6</f>
        <v>803.207896360271</v>
      </c>
      <c r="C19" s="117" t="n">
        <f aca="false">($A19*'Assumptions Rev C'!$B$37*'Assumptions Rev C'!$B$38*C$18)/'Assumptions Rev C'!$B$6</f>
        <v>962.368908081431</v>
      </c>
      <c r="D19" s="117" t="n">
        <f aca="false">($A19*'Assumptions Rev C'!$B$37*'Assumptions Rev C'!$B$38*D$18)/'Assumptions Rev C'!$B$6</f>
        <v>1126.71190623072</v>
      </c>
    </row>
    <row r="20" customFormat="false" ht="15" hidden="false" customHeight="false" outlineLevel="0" collapsed="false">
      <c r="A20" s="116" t="n">
        <v>150</v>
      </c>
      <c r="B20" s="117" t="n">
        <f aca="false">($A20*'Assumptions Rev C'!$B$37*'Assumptions Rev C'!$B$38*B$18)/'Assumptions Rev C'!$B$6</f>
        <v>1204.81184454041</v>
      </c>
      <c r="C20" s="117" t="n">
        <f aca="false">($A20*'Assumptions Rev C'!$B$37*'Assumptions Rev C'!$B$38*C$18)/'Assumptions Rev C'!$B$6</f>
        <v>1443.55336212215</v>
      </c>
      <c r="D20" s="81" t="n">
        <f aca="false">($A20*'Assumptions Rev C'!$B$37*'Assumptions Rev C'!$B$38*D$18)/'Assumptions Rev C'!$B$6</f>
        <v>1690.06785934608</v>
      </c>
    </row>
    <row r="21" customFormat="false" ht="15" hidden="false" customHeight="false" outlineLevel="0" collapsed="false">
      <c r="A21" s="116" t="n">
        <v>200</v>
      </c>
      <c r="B21" s="117" t="n">
        <f aca="false">($A21*'Assumptions Rev C'!$B$37*'Assumptions Rev C'!$B$38*B$18)/'Assumptions Rev C'!$B$6</f>
        <v>1606.41579272054</v>
      </c>
      <c r="C21" s="117" t="n">
        <f aca="false">($A21*'Assumptions Rev C'!$B$37*'Assumptions Rev C'!$B$38*C$18)/'Assumptions Rev C'!$B$6</f>
        <v>1924.73781616286</v>
      </c>
      <c r="D21" s="117" t="n">
        <f aca="false">($A21*'Assumptions Rev C'!$B$37*'Assumptions Rev C'!$B$38*D$18)/'Assumptions Rev C'!$B$6</f>
        <v>2253.42381246144</v>
      </c>
    </row>
    <row r="22" customFormat="false" ht="15" hidden="false" customHeight="false" outlineLevel="0" collapsed="false">
      <c r="A22" s="116" t="n">
        <v>250</v>
      </c>
      <c r="B22" s="117" t="n">
        <f aca="false">($A22*'Assumptions Rev C'!$B$37*'Assumptions Rev C'!$B$38*B$18)/'Assumptions Rev C'!$B$6</f>
        <v>2008.01974090068</v>
      </c>
      <c r="C22" s="117" t="n">
        <f aca="false">($A22*'Assumptions Rev C'!$B$37*'Assumptions Rev C'!$B$38*C$18)/'Assumptions Rev C'!$B$6</f>
        <v>2405.92227020358</v>
      </c>
      <c r="D22" s="117" t="n">
        <f aca="false">($A22*'Assumptions Rev C'!$B$37*'Assumptions Rev C'!$B$38*D$18)/'Assumptions Rev C'!$B$6</f>
        <v>2816.7797655768</v>
      </c>
    </row>
    <row r="23" customFormat="false" ht="15" hidden="false" customHeight="false" outlineLevel="0" collapsed="false">
      <c r="A23" s="116" t="n">
        <v>350</v>
      </c>
      <c r="B23" s="117" t="n">
        <f aca="false">($A23*'Assumptions Rev C'!$B$37*'Assumptions Rev C'!$B$38*B$18)/'Assumptions Rev C'!$B$6</f>
        <v>2811.22763726095</v>
      </c>
      <c r="C23" s="117" t="n">
        <f aca="false">($A23*'Assumptions Rev C'!$B$37*'Assumptions Rev C'!$B$38*C$18)/'Assumptions Rev C'!$B$6</f>
        <v>3368.29117828501</v>
      </c>
      <c r="D23" s="117" t="n">
        <f aca="false">($A23*'Assumptions Rev C'!$B$37*'Assumptions Rev C'!$B$38*D$18)/'Assumptions Rev C'!$B$6</f>
        <v>3943.49167180753</v>
      </c>
    </row>
    <row r="24" customFormat="false" ht="15" hidden="false" customHeight="false" outlineLevel="0" collapsed="false">
      <c r="G24" s="69" t="s">
        <v>612</v>
      </c>
    </row>
    <row r="26" customFormat="false" ht="15" hidden="false" customHeight="false" outlineLevel="0" collapsed="false">
      <c r="A26" s="9" t="s">
        <v>613</v>
      </c>
      <c r="B26" s="10"/>
      <c r="C26" s="10"/>
      <c r="D26" s="10"/>
      <c r="E26" s="10"/>
      <c r="F26" s="10"/>
      <c r="G26" s="10"/>
    </row>
    <row r="27" customFormat="false" ht="45.75" hidden="false" customHeight="true" outlineLevel="0" collapsed="false">
      <c r="A27" s="71" t="s">
        <v>614</v>
      </c>
      <c r="B27" s="71"/>
      <c r="C27" s="71"/>
      <c r="D27" s="71"/>
      <c r="E27" s="71"/>
      <c r="F27" s="71"/>
      <c r="G27" s="71"/>
    </row>
    <row r="28" customFormat="false" ht="45.75" hidden="false" customHeight="true" outlineLevel="0" collapsed="false">
      <c r="A28" s="71" t="s">
        <v>615</v>
      </c>
      <c r="B28" s="71"/>
      <c r="C28" s="71"/>
      <c r="D28" s="71"/>
      <c r="E28" s="71"/>
      <c r="F28" s="71"/>
      <c r="G28" s="71"/>
    </row>
    <row r="29" customFormat="false" ht="45.75" hidden="false" customHeight="true" outlineLevel="0" collapsed="false">
      <c r="A29" s="71" t="s">
        <v>616</v>
      </c>
      <c r="B29" s="71"/>
      <c r="C29" s="71"/>
      <c r="D29" s="71"/>
      <c r="E29" s="71"/>
      <c r="F29" s="71"/>
      <c r="G29" s="71"/>
    </row>
    <row r="30" customFormat="false" ht="45.75" hidden="false" customHeight="true" outlineLevel="0" collapsed="false">
      <c r="A30" s="71" t="s">
        <v>617</v>
      </c>
      <c r="B30" s="71"/>
      <c r="C30" s="71"/>
      <c r="D30" s="71"/>
      <c r="E30" s="71"/>
      <c r="F30" s="71"/>
      <c r="G30" s="71"/>
    </row>
    <row r="32" customFormat="false" ht="15" hidden="false" customHeight="false" outlineLevel="0" collapsed="false">
      <c r="A32" s="9" t="s">
        <v>618</v>
      </c>
      <c r="B32" s="10"/>
      <c r="C32" s="10"/>
      <c r="D32" s="10"/>
      <c r="E32" s="10"/>
      <c r="F32" s="10"/>
      <c r="G32" s="10"/>
    </row>
    <row r="33" customFormat="false" ht="30" hidden="false" customHeight="true" outlineLevel="0" collapsed="false">
      <c r="A33" s="3" t="s">
        <v>619</v>
      </c>
      <c r="B33" s="3" t="s">
        <v>620</v>
      </c>
      <c r="C33" s="3" t="s">
        <v>289</v>
      </c>
      <c r="D33" s="3" t="s">
        <v>290</v>
      </c>
      <c r="E33" s="3"/>
      <c r="F33" s="3"/>
      <c r="G33" s="3" t="s">
        <v>86</v>
      </c>
    </row>
    <row r="34" customFormat="false" ht="15" hidden="false" customHeight="false" outlineLevel="0" collapsed="false">
      <c r="A34" s="2" t="s">
        <v>259</v>
      </c>
      <c r="B34" s="118" t="n">
        <f aca="false">'Assumptions Rev C'!$B$46</f>
        <v>2000</v>
      </c>
      <c r="C34" s="84" t="n">
        <f aca="false">B34/'Assumptions Rev C'!$B$6</f>
        <v>123.380629241209</v>
      </c>
      <c r="D34" s="106" t="n">
        <f aca="false">C34*12</f>
        <v>1480.56755089451</v>
      </c>
      <c r="G34" s="69" t="s">
        <v>621</v>
      </c>
    </row>
    <row r="35" customFormat="false" ht="15" hidden="false" customHeight="false" outlineLevel="0" collapsed="false">
      <c r="A35" s="2" t="s">
        <v>261</v>
      </c>
      <c r="B35" s="118" t="n">
        <f aca="false">'Assumptions Rev C'!$B$47</f>
        <v>500</v>
      </c>
      <c r="C35" s="84" t="n">
        <f aca="false">B35/'Assumptions Rev C'!$B$6</f>
        <v>30.8451573103023</v>
      </c>
      <c r="D35" s="106" t="n">
        <f aca="false">C35*12</f>
        <v>370.141887723627</v>
      </c>
      <c r="G35" s="69" t="s">
        <v>622</v>
      </c>
    </row>
    <row r="36" customFormat="false" ht="15" hidden="false" customHeight="false" outlineLevel="0" collapsed="false">
      <c r="A36" s="80" t="s">
        <v>623</v>
      </c>
      <c r="B36" s="113" t="n">
        <f aca="false">SUM(B34:B35)</f>
        <v>2500</v>
      </c>
      <c r="C36" s="81" t="n">
        <f aca="false">'Assumptions Rev C'!$B$49</f>
        <v>154.225786551511</v>
      </c>
      <c r="D36" s="82" t="n">
        <f aca="false">C36*12</f>
        <v>1850.70943861814</v>
      </c>
      <c r="E36" s="80"/>
      <c r="F36" s="80"/>
      <c r="G36" s="80"/>
    </row>
    <row r="37" customFormat="false" ht="15" hidden="false" customHeight="false" outlineLevel="0" collapsed="false">
      <c r="A37" s="2" t="s">
        <v>624</v>
      </c>
      <c r="D37" s="106" t="n">
        <v>0</v>
      </c>
      <c r="G37" s="69" t="s">
        <v>625</v>
      </c>
    </row>
    <row r="39" customFormat="false" ht="51.75" hidden="false" customHeight="true" outlineLevel="0" collapsed="false">
      <c r="A39" s="71" t="s">
        <v>626</v>
      </c>
      <c r="B39" s="71"/>
      <c r="C39" s="71"/>
      <c r="D39" s="71"/>
      <c r="E39" s="71"/>
      <c r="F39" s="71"/>
      <c r="G39" s="71"/>
    </row>
    <row r="40" customFormat="false" ht="51.75" hidden="false" customHeight="true" outlineLevel="0" collapsed="false">
      <c r="A40" s="71" t="s">
        <v>627</v>
      </c>
      <c r="B40" s="71"/>
      <c r="C40" s="71"/>
      <c r="D40" s="71"/>
      <c r="E40" s="71"/>
      <c r="F40" s="71"/>
      <c r="G40" s="71"/>
    </row>
    <row r="41" customFormat="false" ht="51.75" hidden="false" customHeight="true" outlineLevel="0" collapsed="false">
      <c r="A41" s="71" t="s">
        <v>628</v>
      </c>
      <c r="B41" s="71"/>
      <c r="C41" s="71"/>
      <c r="D41" s="71"/>
      <c r="E41" s="71"/>
      <c r="F41" s="71"/>
      <c r="G41" s="71"/>
    </row>
  </sheetData>
  <mergeCells count="8">
    <mergeCell ref="A2:G2"/>
    <mergeCell ref="A27:G27"/>
    <mergeCell ref="A28:G28"/>
    <mergeCell ref="A29:G29"/>
    <mergeCell ref="A30:G30"/>
    <mergeCell ref="A39:G39"/>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14" min="2" style="0" width="12"/>
    <col collapsed="false" customWidth="true" hidden="false" outlineLevel="0" max="15" min="15" style="0" width="62"/>
  </cols>
  <sheetData>
    <row r="1" customFormat="false" ht="21.75" hidden="false" customHeight="true" outlineLevel="0" collapsed="false">
      <c r="A1" s="1" t="s">
        <v>629</v>
      </c>
      <c r="B1" s="1"/>
      <c r="C1" s="1"/>
      <c r="D1" s="1"/>
      <c r="E1" s="1"/>
      <c r="F1" s="1"/>
      <c r="G1" s="1"/>
      <c r="H1" s="1"/>
      <c r="I1" s="1"/>
      <c r="J1" s="1"/>
      <c r="K1" s="1"/>
      <c r="L1" s="1"/>
      <c r="M1" s="1"/>
      <c r="N1" s="1"/>
      <c r="O1" s="1"/>
    </row>
    <row r="2" customFormat="false" ht="15" hidden="false" customHeight="true" outlineLevel="0" collapsed="false">
      <c r="A2" s="119" t="s">
        <v>630</v>
      </c>
      <c r="B2" s="119"/>
      <c r="C2" s="119"/>
      <c r="D2" s="119"/>
      <c r="E2" s="119"/>
      <c r="F2" s="119"/>
      <c r="G2" s="119"/>
      <c r="H2" s="119"/>
      <c r="I2" s="119"/>
      <c r="J2" s="119"/>
      <c r="K2" s="119"/>
      <c r="L2" s="119"/>
      <c r="M2" s="119"/>
      <c r="N2" s="119"/>
      <c r="O2" s="119"/>
    </row>
    <row r="4" customFormat="false" ht="30" hidden="false" customHeight="true" outlineLevel="0" collapsed="false">
      <c r="A4" s="3" t="s">
        <v>619</v>
      </c>
      <c r="B4" s="3" t="s">
        <v>631</v>
      </c>
      <c r="C4" s="3" t="s">
        <v>632</v>
      </c>
      <c r="D4" s="3" t="s">
        <v>633</v>
      </c>
      <c r="E4" s="3" t="s">
        <v>634</v>
      </c>
      <c r="F4" s="3" t="s">
        <v>635</v>
      </c>
      <c r="G4" s="3" t="s">
        <v>636</v>
      </c>
      <c r="H4" s="3" t="s">
        <v>637</v>
      </c>
      <c r="I4" s="3" t="s">
        <v>638</v>
      </c>
      <c r="J4" s="3" t="s">
        <v>639</v>
      </c>
      <c r="K4" s="3" t="s">
        <v>640</v>
      </c>
      <c r="L4" s="3" t="s">
        <v>641</v>
      </c>
      <c r="M4" s="3" t="s">
        <v>642</v>
      </c>
      <c r="N4" s="3" t="s">
        <v>643</v>
      </c>
      <c r="O4" s="3" t="s">
        <v>86</v>
      </c>
    </row>
    <row r="5" customFormat="false" ht="15" hidden="false" customHeight="false" outlineLevel="0" collapsed="false">
      <c r="A5" s="9" t="s">
        <v>644</v>
      </c>
      <c r="B5" s="10"/>
      <c r="C5" s="10"/>
      <c r="D5" s="10"/>
      <c r="E5" s="10"/>
      <c r="F5" s="10"/>
      <c r="G5" s="10"/>
      <c r="H5" s="10"/>
      <c r="I5" s="10"/>
      <c r="J5" s="10"/>
      <c r="K5" s="10"/>
      <c r="L5" s="10"/>
      <c r="M5" s="10"/>
      <c r="N5" s="10"/>
      <c r="O5" s="10"/>
    </row>
    <row r="6" customFormat="false" ht="15" hidden="false" customHeight="false" outlineLevel="0" collapsed="false">
      <c r="A6" s="13" t="s">
        <v>645</v>
      </c>
      <c r="B6" s="14" t="n">
        <f aca="false">'Year 1 Monthly'!H5</f>
        <v>457</v>
      </c>
      <c r="C6" s="14" t="n">
        <f aca="false">'Year 1 Monthly'!H6</f>
        <v>500</v>
      </c>
      <c r="D6" s="14" t="n">
        <f aca="false">'Year 1 Monthly'!H7</f>
        <v>549</v>
      </c>
      <c r="E6" s="14" t="n">
        <f aca="false">'Year 1 Monthly'!H8</f>
        <v>2417</v>
      </c>
      <c r="F6" s="14" t="n">
        <f aca="false">'Year 1 Monthly'!H9</f>
        <v>2668</v>
      </c>
      <c r="G6" s="14" t="n">
        <f aca="false">'Year 1 Monthly'!H10</f>
        <v>2952</v>
      </c>
      <c r="H6" s="14" t="n">
        <f aca="false">'Year 1 Monthly'!H11</f>
        <v>9818</v>
      </c>
      <c r="I6" s="14" t="n">
        <f aca="false">'Year 1 Monthly'!H12</f>
        <v>18179</v>
      </c>
      <c r="J6" s="14" t="n">
        <f aca="false">'Year 1 Monthly'!H13</f>
        <v>28327</v>
      </c>
      <c r="K6" s="14" t="n">
        <f aca="false">'Year 1 Monthly'!H14</f>
        <v>40608</v>
      </c>
      <c r="L6" s="14" t="n">
        <f aca="false">'Year 1 Monthly'!H15</f>
        <v>55425</v>
      </c>
      <c r="M6" s="14" t="n">
        <f aca="false">'Year 1 Monthly'!H16</f>
        <v>73254</v>
      </c>
      <c r="N6" s="15" t="n">
        <f aca="false">SUM(B6:M6)</f>
        <v>235154</v>
      </c>
      <c r="O6" s="12" t="s">
        <v>92</v>
      </c>
    </row>
    <row r="7" customFormat="false" ht="15" hidden="false" customHeight="false" outlineLevel="0" collapsed="false">
      <c r="A7" s="2" t="s">
        <v>646</v>
      </c>
      <c r="B7" s="11" t="n">
        <f aca="false">'Year 1 Monthly'!C5</f>
        <v>64</v>
      </c>
      <c r="C7" s="11" t="n">
        <f aca="false">'Year 1 Monthly'!C6</f>
        <v>69</v>
      </c>
      <c r="D7" s="11" t="n">
        <f aca="false">'Year 1 Monthly'!C7</f>
        <v>74</v>
      </c>
      <c r="E7" s="11" t="n">
        <f aca="false">'Year 1 Monthly'!C8</f>
        <v>318</v>
      </c>
      <c r="F7" s="11" t="n">
        <f aca="false">'Year 1 Monthly'!C9</f>
        <v>343</v>
      </c>
      <c r="G7" s="11" t="n">
        <f aca="false">'Year 1 Monthly'!C10</f>
        <v>370</v>
      </c>
      <c r="H7" s="11" t="n">
        <f aca="false">'Year 1 Monthly'!C11</f>
        <v>1198</v>
      </c>
      <c r="I7" s="11" t="n">
        <f aca="false">'Year 1 Monthly'!C12</f>
        <v>2161</v>
      </c>
      <c r="J7" s="11" t="n">
        <f aca="false">'Year 1 Monthly'!C13</f>
        <v>3277</v>
      </c>
      <c r="K7" s="11" t="n">
        <f aca="false">'Year 1 Monthly'!C14</f>
        <v>4570</v>
      </c>
      <c r="L7" s="11" t="n">
        <f aca="false">'Year 1 Monthly'!C15</f>
        <v>6065</v>
      </c>
      <c r="M7" s="11" t="n">
        <f aca="false">'Year 1 Monthly'!C16</f>
        <v>7790</v>
      </c>
      <c r="N7" s="120" t="n">
        <f aca="false">SUM(B7:M7)</f>
        <v>26299</v>
      </c>
      <c r="O7" s="12" t="s">
        <v>647</v>
      </c>
    </row>
    <row r="8" customFormat="false" ht="15" hidden="false" customHeight="false" outlineLevel="0" collapsed="false">
      <c r="A8" s="9" t="s">
        <v>648</v>
      </c>
      <c r="B8" s="10"/>
      <c r="C8" s="10"/>
      <c r="D8" s="10"/>
      <c r="E8" s="10"/>
      <c r="F8" s="10"/>
      <c r="G8" s="10"/>
      <c r="H8" s="10"/>
      <c r="I8" s="10"/>
      <c r="J8" s="10"/>
      <c r="K8" s="10"/>
      <c r="L8" s="10"/>
      <c r="M8" s="10"/>
      <c r="N8" s="10"/>
      <c r="O8" s="10"/>
    </row>
    <row r="9" customFormat="false" ht="15" hidden="false" customHeight="false" outlineLevel="0" collapsed="false">
      <c r="A9" s="2" t="s">
        <v>94</v>
      </c>
      <c r="B9" s="16" t="n">
        <f aca="false">'Subscriptions Register'!$E$59</f>
        <v>331.85</v>
      </c>
      <c r="C9" s="16" t="n">
        <f aca="false">'Subscriptions Register'!$E$59</f>
        <v>331.85</v>
      </c>
      <c r="D9" s="16" t="n">
        <f aca="false">'Subscriptions Register'!$E$59</f>
        <v>331.85</v>
      </c>
      <c r="E9" s="16" t="n">
        <f aca="false">'Subscriptions Register'!$E$59</f>
        <v>331.85</v>
      </c>
      <c r="F9" s="16" t="n">
        <f aca="false">'Subscriptions Register'!$E$59</f>
        <v>331.85</v>
      </c>
      <c r="G9" s="16" t="n">
        <f aca="false">'Subscriptions Register'!$E$59</f>
        <v>331.85</v>
      </c>
      <c r="H9" s="16" t="n">
        <f aca="false">'Subscriptions Register'!$E$59</f>
        <v>331.85</v>
      </c>
      <c r="I9" s="16" t="n">
        <f aca="false">'Subscriptions Register'!$E$59</f>
        <v>331.85</v>
      </c>
      <c r="J9" s="16" t="n">
        <f aca="false">'Subscriptions Register'!$E$59</f>
        <v>331.85</v>
      </c>
      <c r="K9" s="16" t="n">
        <f aca="false">'Subscriptions Register'!$E$59</f>
        <v>331.85</v>
      </c>
      <c r="L9" s="16" t="n">
        <f aca="false">'Subscriptions Register'!$E$59</f>
        <v>331.85</v>
      </c>
      <c r="M9" s="16" t="n">
        <f aca="false">'Subscriptions Register'!$E$59</f>
        <v>331.85</v>
      </c>
      <c r="N9" s="15" t="n">
        <f aca="false">SUM(B9:M9)</f>
        <v>3982.2</v>
      </c>
      <c r="O9" s="12" t="s">
        <v>649</v>
      </c>
    </row>
    <row r="10" customFormat="false" ht="15" hidden="false" customHeight="false" outlineLevel="0" collapsed="false">
      <c r="A10" s="17" t="s">
        <v>650</v>
      </c>
      <c r="B10" s="18" t="n">
        <f aca="false">IF(1&gt;='Assumptions Rev C'!$B$41,'Assumptions Rev C'!$B$44,0)</f>
        <v>1690.06785934608</v>
      </c>
      <c r="C10" s="18" t="n">
        <f aca="false">IF(2&gt;='Assumptions Rev C'!$B$41,'Assumptions Rev C'!$B$44,0)</f>
        <v>1690.06785934608</v>
      </c>
      <c r="D10" s="18" t="n">
        <f aca="false">IF(3&gt;='Assumptions Rev C'!$B$41,'Assumptions Rev C'!$B$44,0)</f>
        <v>1690.06785934608</v>
      </c>
      <c r="E10" s="18" t="n">
        <f aca="false">IF(4&gt;='Assumptions Rev C'!$B$41,'Assumptions Rev C'!$B$44,0)</f>
        <v>1690.06785934608</v>
      </c>
      <c r="F10" s="18" t="n">
        <f aca="false">IF(5&gt;='Assumptions Rev C'!$B$41,'Assumptions Rev C'!$B$44,0)</f>
        <v>1690.06785934608</v>
      </c>
      <c r="G10" s="18" t="n">
        <f aca="false">IF(6&gt;='Assumptions Rev C'!$B$41,'Assumptions Rev C'!$B$44,0)</f>
        <v>1690.06785934608</v>
      </c>
      <c r="H10" s="18" t="n">
        <f aca="false">IF(7&gt;='Assumptions Rev C'!$B$41,'Assumptions Rev C'!$B$44,0)</f>
        <v>1690.06785934608</v>
      </c>
      <c r="I10" s="18" t="n">
        <f aca="false">IF(8&gt;='Assumptions Rev C'!$B$41,'Assumptions Rev C'!$B$44,0)</f>
        <v>1690.06785934608</v>
      </c>
      <c r="J10" s="18" t="n">
        <f aca="false">IF(9&gt;='Assumptions Rev C'!$B$41,'Assumptions Rev C'!$B$44,0)</f>
        <v>1690.06785934608</v>
      </c>
      <c r="K10" s="18" t="n">
        <f aca="false">IF(10&gt;='Assumptions Rev C'!$B$41,'Assumptions Rev C'!$B$44,0)</f>
        <v>1690.06785934608</v>
      </c>
      <c r="L10" s="18" t="n">
        <f aca="false">IF(11&gt;='Assumptions Rev C'!$B$41,'Assumptions Rev C'!$B$44,0)</f>
        <v>1690.06785934608</v>
      </c>
      <c r="M10" s="18" t="n">
        <f aca="false">IF(12&gt;='Assumptions Rev C'!$B$41,'Assumptions Rev C'!$B$44,0)</f>
        <v>1690.06785934608</v>
      </c>
      <c r="N10" s="15" t="n">
        <f aca="false">SUM(B10:M10)</f>
        <v>20280.814312153</v>
      </c>
      <c r="O10" s="12" t="s">
        <v>651</v>
      </c>
    </row>
    <row r="11" customFormat="false" ht="15" hidden="false" customHeight="false" outlineLevel="0" collapsed="false">
      <c r="A11" s="2" t="s">
        <v>97</v>
      </c>
      <c r="B11" s="16" t="n">
        <f aca="false">IF(1&gt;='Assumptions Rev C'!$B$48,'Assumptions Rev C'!$B$49,0)</f>
        <v>154.225786551511</v>
      </c>
      <c r="C11" s="16" t="n">
        <f aca="false">IF(2&gt;='Assumptions Rev C'!$B$48,'Assumptions Rev C'!$B$49,0)</f>
        <v>154.225786551511</v>
      </c>
      <c r="D11" s="16" t="n">
        <f aca="false">IF(3&gt;='Assumptions Rev C'!$B$48,'Assumptions Rev C'!$B$49,0)</f>
        <v>154.225786551511</v>
      </c>
      <c r="E11" s="16" t="n">
        <f aca="false">IF(4&gt;='Assumptions Rev C'!$B$48,'Assumptions Rev C'!$B$49,0)</f>
        <v>154.225786551511</v>
      </c>
      <c r="F11" s="16" t="n">
        <f aca="false">IF(5&gt;='Assumptions Rev C'!$B$48,'Assumptions Rev C'!$B$49,0)</f>
        <v>154.225786551511</v>
      </c>
      <c r="G11" s="16" t="n">
        <f aca="false">IF(6&gt;='Assumptions Rev C'!$B$48,'Assumptions Rev C'!$B$49,0)</f>
        <v>154.225786551511</v>
      </c>
      <c r="H11" s="16" t="n">
        <f aca="false">IF(7&gt;='Assumptions Rev C'!$B$48,'Assumptions Rev C'!$B$49,0)</f>
        <v>154.225786551511</v>
      </c>
      <c r="I11" s="16" t="n">
        <f aca="false">IF(8&gt;='Assumptions Rev C'!$B$48,'Assumptions Rev C'!$B$49,0)</f>
        <v>154.225786551511</v>
      </c>
      <c r="J11" s="16" t="n">
        <f aca="false">IF(9&gt;='Assumptions Rev C'!$B$48,'Assumptions Rev C'!$B$49,0)</f>
        <v>154.225786551511</v>
      </c>
      <c r="K11" s="16" t="n">
        <f aca="false">IF(10&gt;='Assumptions Rev C'!$B$48,'Assumptions Rev C'!$B$49,0)</f>
        <v>154.225786551511</v>
      </c>
      <c r="L11" s="16" t="n">
        <f aca="false">IF(11&gt;='Assumptions Rev C'!$B$48,'Assumptions Rev C'!$B$49,0)</f>
        <v>154.225786551511</v>
      </c>
      <c r="M11" s="16" t="n">
        <f aca="false">IF(12&gt;='Assumptions Rev C'!$B$48,'Assumptions Rev C'!$B$49,0)</f>
        <v>154.225786551511</v>
      </c>
      <c r="N11" s="15" t="n">
        <f aca="false">SUM(B11:M11)</f>
        <v>1850.70943861814</v>
      </c>
      <c r="O11" s="12" t="s">
        <v>652</v>
      </c>
    </row>
    <row r="12" customFormat="false" ht="15" hidden="false" customHeight="false" outlineLevel="0" collapsed="false">
      <c r="A12" s="2" t="s">
        <v>99</v>
      </c>
      <c r="B12" s="16" t="n">
        <f aca="false">IF(1&gt;='Assumptions Rev C'!$B$25,'Assumptions Rev C'!$B$26,0)</f>
        <v>0</v>
      </c>
      <c r="C12" s="16" t="n">
        <f aca="false">IF(2&gt;='Assumptions Rev C'!$B$25,'Assumptions Rev C'!$B$26,0)</f>
        <v>0</v>
      </c>
      <c r="D12" s="16" t="n">
        <f aca="false">IF(3&gt;='Assumptions Rev C'!$B$25,'Assumptions Rev C'!$B$26,0)</f>
        <v>0</v>
      </c>
      <c r="E12" s="16" t="n">
        <f aca="false">IF(4&gt;='Assumptions Rev C'!$B$25,'Assumptions Rev C'!$B$26,0)</f>
        <v>0</v>
      </c>
      <c r="F12" s="16" t="n">
        <f aca="false">IF(5&gt;='Assumptions Rev C'!$B$25,'Assumptions Rev C'!$B$26,0)</f>
        <v>0</v>
      </c>
      <c r="G12" s="16" t="n">
        <f aca="false">IF(6&gt;='Assumptions Rev C'!$B$25,'Assumptions Rev C'!$B$26,0)</f>
        <v>0</v>
      </c>
      <c r="H12" s="16" t="n">
        <f aca="false">IF(7&gt;='Assumptions Rev C'!$B$25,'Assumptions Rev C'!$B$26,0)</f>
        <v>22.23</v>
      </c>
      <c r="I12" s="16" t="n">
        <f aca="false">IF(8&gt;='Assumptions Rev C'!$B$25,'Assumptions Rev C'!$B$26,0)</f>
        <v>22.23</v>
      </c>
      <c r="J12" s="16" t="n">
        <f aca="false">IF(9&gt;='Assumptions Rev C'!$B$25,'Assumptions Rev C'!$B$26,0)</f>
        <v>22.23</v>
      </c>
      <c r="K12" s="16" t="n">
        <f aca="false">IF(10&gt;='Assumptions Rev C'!$B$25,'Assumptions Rev C'!$B$26,0)</f>
        <v>22.23</v>
      </c>
      <c r="L12" s="16" t="n">
        <f aca="false">IF(11&gt;='Assumptions Rev C'!$B$25,'Assumptions Rev C'!$B$26,0)</f>
        <v>22.23</v>
      </c>
      <c r="M12" s="16" t="n">
        <f aca="false">IF(12&gt;='Assumptions Rev C'!$B$25,'Assumptions Rev C'!$B$26,0)</f>
        <v>22.23</v>
      </c>
      <c r="N12" s="15" t="n">
        <f aca="false">SUM(B12:M12)</f>
        <v>133.38</v>
      </c>
      <c r="O12" s="12" t="s">
        <v>653</v>
      </c>
    </row>
    <row r="13" customFormat="false" ht="15" hidden="false" customHeight="false" outlineLevel="0" collapsed="false">
      <c r="A13" s="9" t="s">
        <v>654</v>
      </c>
      <c r="B13" s="10"/>
      <c r="C13" s="10"/>
      <c r="D13" s="10"/>
      <c r="E13" s="10"/>
      <c r="F13" s="10"/>
      <c r="G13" s="10"/>
      <c r="H13" s="10"/>
      <c r="I13" s="10"/>
      <c r="J13" s="10"/>
      <c r="K13" s="10"/>
      <c r="L13" s="10"/>
      <c r="M13" s="10"/>
      <c r="N13" s="10"/>
      <c r="O13" s="10"/>
    </row>
    <row r="14" customFormat="false" ht="19.4" hidden="false" customHeight="false" outlineLevel="0" collapsed="false">
      <c r="A14" s="2" t="s">
        <v>101</v>
      </c>
      <c r="B14" s="16" t="n">
        <f aca="false">B6*'Assumptions Rev C'!$B$54</f>
        <v>17.4075454545455</v>
      </c>
      <c r="C14" s="16" t="n">
        <f aca="false">C6*'Assumptions Rev C'!$B$54</f>
        <v>19.0454545454545</v>
      </c>
      <c r="D14" s="16" t="n">
        <f aca="false">D6*'Assumptions Rev C'!$B$54</f>
        <v>20.9119090909091</v>
      </c>
      <c r="E14" s="16" t="n">
        <f aca="false">E6*'Assumptions Rev C'!$B$54</f>
        <v>92.0657272727273</v>
      </c>
      <c r="F14" s="16" t="n">
        <f aca="false">F6*'Assumptions Rev C'!$B$54</f>
        <v>101.626545454545</v>
      </c>
      <c r="G14" s="16" t="n">
        <f aca="false">G6*'Assumptions Rev C'!$B$54</f>
        <v>112.444363636364</v>
      </c>
      <c r="H14" s="16" t="n">
        <f aca="false">H6*'Assumptions Rev C'!$B$54</f>
        <v>373.976545454546</v>
      </c>
      <c r="I14" s="16" t="n">
        <f aca="false">I6*'Assumptions Rev C'!$B$54</f>
        <v>692.454636363636</v>
      </c>
      <c r="J14" s="16" t="n">
        <f aca="false">J6*'Assumptions Rev C'!$B$54</f>
        <v>1079.00118181818</v>
      </c>
      <c r="K14" s="16" t="n">
        <f aca="false">K6*'Assumptions Rev C'!$B$54</f>
        <v>1546.79563636364</v>
      </c>
      <c r="L14" s="16" t="n">
        <f aca="false">L6*'Assumptions Rev C'!$B$54</f>
        <v>2111.18863636364</v>
      </c>
      <c r="M14" s="16" t="n">
        <f aca="false">M6*'Assumptions Rev C'!$B$54</f>
        <v>2790.31145454545</v>
      </c>
      <c r="N14" s="15" t="n">
        <f aca="false">SUM(B14:M14)</f>
        <v>8957.22963636364</v>
      </c>
      <c r="O14" s="12" t="s">
        <v>655</v>
      </c>
    </row>
    <row r="15" customFormat="false" ht="15" hidden="false" customHeight="false" outlineLevel="0" collapsed="false">
      <c r="A15" s="2" t="s">
        <v>103</v>
      </c>
      <c r="B15" s="16" t="n">
        <f aca="false">IFERROR('AI Lanes Rev C'!$B$37/'Year 1 Monthly'!$H$17*B6,0)</f>
        <v>0.487406550600883</v>
      </c>
      <c r="C15" s="16" t="n">
        <f aca="false">IFERROR('AI Lanes Rev C'!$B$37/'Year 1 Monthly'!$H$17*C6,0)</f>
        <v>0.533267560832476</v>
      </c>
      <c r="D15" s="16" t="n">
        <f aca="false">IFERROR('AI Lanes Rev C'!$B$37/'Year 1 Monthly'!$H$17*D6,0)</f>
        <v>0.585527781794058</v>
      </c>
      <c r="E15" s="16" t="n">
        <f aca="false">IFERROR('AI Lanes Rev C'!$B$37/'Year 1 Monthly'!$H$17*E6,0)</f>
        <v>2.57781538906419</v>
      </c>
      <c r="F15" s="16" t="n">
        <f aca="false">IFERROR('AI Lanes Rev C'!$B$37/'Year 1 Monthly'!$H$17*F6,0)</f>
        <v>2.84551570460209</v>
      </c>
      <c r="G15" s="16" t="n">
        <f aca="false">IFERROR('AI Lanes Rev C'!$B$37/'Year 1 Monthly'!$H$17*G6,0)</f>
        <v>3.14841167915494</v>
      </c>
      <c r="H15" s="16" t="n">
        <f aca="false">IFERROR('AI Lanes Rev C'!$B$37/'Year 1 Monthly'!$H$17*H6,0)</f>
        <v>10.4712418245065</v>
      </c>
      <c r="I15" s="16" t="n">
        <f aca="false">IFERROR('AI Lanes Rev C'!$B$37/'Year 1 Monthly'!$H$17*I6,0)</f>
        <v>19.3885419767472</v>
      </c>
      <c r="J15" s="16" t="n">
        <f aca="false">IFERROR('AI Lanes Rev C'!$B$37/'Year 1 Monthly'!$H$17*J6,0)</f>
        <v>30.2117403914031</v>
      </c>
      <c r="K15" s="16" t="n">
        <f aca="false">IFERROR('AI Lanes Rev C'!$B$37/'Year 1 Monthly'!$H$17*K6,0)</f>
        <v>43.3098582205704</v>
      </c>
      <c r="L15" s="16" t="n">
        <f aca="false">IFERROR('AI Lanes Rev C'!$B$37/'Year 1 Monthly'!$H$17*L6,0)</f>
        <v>59.1127091182799</v>
      </c>
      <c r="M15" s="16" t="n">
        <f aca="false">IFERROR('AI Lanes Rev C'!$B$37/'Year 1 Monthly'!$H$17*M6,0)</f>
        <v>78.1279638024444</v>
      </c>
      <c r="N15" s="15" t="n">
        <f aca="false">SUM(B15:M15)</f>
        <v>250.8</v>
      </c>
      <c r="O15" s="12" t="s">
        <v>656</v>
      </c>
    </row>
    <row r="16" customFormat="false" ht="19.4" hidden="false" customHeight="false" outlineLevel="0" collapsed="false">
      <c r="A16" s="2" t="s">
        <v>105</v>
      </c>
      <c r="B16" s="16" t="n">
        <f aca="false">IF(1=1,'Assumptions Rev C'!$B$32,IF('Assumptions Rev C'!$B$33=1,'Assumptions Rev C'!$B$32,0))</f>
        <v>280</v>
      </c>
      <c r="C16" s="16" t="n">
        <f aca="false">IF(2=1,'Assumptions Rev C'!$B$32,IF('Assumptions Rev C'!$B$33=1,'Assumptions Rev C'!$B$32,0))</f>
        <v>0</v>
      </c>
      <c r="D16" s="16" t="n">
        <f aca="false">IF(3=1,'Assumptions Rev C'!$B$32,IF('Assumptions Rev C'!$B$33=1,'Assumptions Rev C'!$B$32,0))</f>
        <v>0</v>
      </c>
      <c r="E16" s="16" t="n">
        <f aca="false">IF(4=1,'Assumptions Rev C'!$B$32,IF('Assumptions Rev C'!$B$33=1,'Assumptions Rev C'!$B$32,0))</f>
        <v>0</v>
      </c>
      <c r="F16" s="16" t="n">
        <f aca="false">IF(5=1,'Assumptions Rev C'!$B$32,IF('Assumptions Rev C'!$B$33=1,'Assumptions Rev C'!$B$32,0))</f>
        <v>0</v>
      </c>
      <c r="G16" s="16" t="n">
        <f aca="false">IF(6=1,'Assumptions Rev C'!$B$32,IF('Assumptions Rev C'!$B$33=1,'Assumptions Rev C'!$B$32,0))</f>
        <v>0</v>
      </c>
      <c r="H16" s="16" t="n">
        <f aca="false">IF(7=1,'Assumptions Rev C'!$B$32,IF('Assumptions Rev C'!$B$33=1,'Assumptions Rev C'!$B$32,0))</f>
        <v>0</v>
      </c>
      <c r="I16" s="16" t="n">
        <f aca="false">IF(8=1,'Assumptions Rev C'!$B$32,IF('Assumptions Rev C'!$B$33=1,'Assumptions Rev C'!$B$32,0))</f>
        <v>0</v>
      </c>
      <c r="J16" s="16" t="n">
        <f aca="false">IF(9=1,'Assumptions Rev C'!$B$32,IF('Assumptions Rev C'!$B$33=1,'Assumptions Rev C'!$B$32,0))</f>
        <v>0</v>
      </c>
      <c r="K16" s="16" t="n">
        <f aca="false">IF(10=1,'Assumptions Rev C'!$B$32,IF('Assumptions Rev C'!$B$33=1,'Assumptions Rev C'!$B$32,0))</f>
        <v>0</v>
      </c>
      <c r="L16" s="16" t="n">
        <f aca="false">IF(11=1,'Assumptions Rev C'!$B$32,IF('Assumptions Rev C'!$B$33=1,'Assumptions Rev C'!$B$32,0))</f>
        <v>0</v>
      </c>
      <c r="M16" s="16" t="n">
        <f aca="false">IF(12=1,'Assumptions Rev C'!$B$32,IF('Assumptions Rev C'!$B$33=1,'Assumptions Rev C'!$B$32,0))</f>
        <v>0</v>
      </c>
      <c r="N16" s="15" t="n">
        <f aca="false">SUM(B16:M16)</f>
        <v>280</v>
      </c>
      <c r="O16" s="12" t="s">
        <v>657</v>
      </c>
    </row>
    <row r="17" customFormat="false" ht="15" hidden="false" customHeight="false" outlineLevel="0" collapsed="false">
      <c r="A17" s="9" t="s">
        <v>109</v>
      </c>
      <c r="B17" s="10"/>
      <c r="C17" s="10"/>
      <c r="D17" s="10"/>
      <c r="E17" s="10"/>
      <c r="F17" s="10"/>
      <c r="G17" s="10"/>
      <c r="H17" s="10"/>
      <c r="I17" s="10"/>
      <c r="J17" s="10"/>
      <c r="K17" s="10"/>
      <c r="L17" s="10"/>
      <c r="M17" s="10"/>
      <c r="N17" s="10"/>
      <c r="O17" s="10"/>
    </row>
    <row r="18" customFormat="false" ht="15" hidden="false" customHeight="false" outlineLevel="0" collapsed="false">
      <c r="A18" s="19" t="s">
        <v>108</v>
      </c>
      <c r="B18" s="20" t="n">
        <f aca="false">SUM(B9:B16)</f>
        <v>2474.03859790274</v>
      </c>
      <c r="C18" s="20" t="n">
        <f aca="false">SUM(C9:C16)</f>
        <v>2195.72236800388</v>
      </c>
      <c r="D18" s="20" t="n">
        <f aca="false">SUM(D9:D16)</f>
        <v>2197.6410827703</v>
      </c>
      <c r="E18" s="20" t="n">
        <f aca="false">SUM(E9:E16)</f>
        <v>2270.78718855939</v>
      </c>
      <c r="F18" s="20" t="n">
        <f aca="false">SUM(F9:F16)</f>
        <v>2280.61570705674</v>
      </c>
      <c r="G18" s="20" t="n">
        <f aca="false">SUM(G9:G16)</f>
        <v>2291.73642121311</v>
      </c>
      <c r="H18" s="20" t="n">
        <f aca="false">SUM(H9:H16)</f>
        <v>2582.82143317665</v>
      </c>
      <c r="I18" s="20" t="n">
        <f aca="false">SUM(I9:I16)</f>
        <v>2910.21682423798</v>
      </c>
      <c r="J18" s="20" t="n">
        <f aca="false">SUM(J9:J16)</f>
        <v>3307.58656810718</v>
      </c>
      <c r="K18" s="20" t="n">
        <f aca="false">SUM(K9:K16)</f>
        <v>3788.4791404818</v>
      </c>
      <c r="L18" s="20" t="n">
        <f aca="false">SUM(L9:L16)</f>
        <v>4368.67499137951</v>
      </c>
      <c r="M18" s="20" t="n">
        <f aca="false">SUM(M9:M16)</f>
        <v>5066.81306424549</v>
      </c>
      <c r="N18" s="15" t="n">
        <f aca="false">SUM(B18:M18)</f>
        <v>35735.1333871348</v>
      </c>
      <c r="O18" s="12"/>
    </row>
    <row r="19" customFormat="false" ht="15" hidden="false" customHeight="false" outlineLevel="0" collapsed="false">
      <c r="A19" s="21" t="s">
        <v>658</v>
      </c>
      <c r="B19" s="22" t="n">
        <f aca="false">B6-B18</f>
        <v>-2017.03859790274</v>
      </c>
      <c r="C19" s="22" t="n">
        <f aca="false">C6-C18</f>
        <v>-1695.72236800388</v>
      </c>
      <c r="D19" s="22" t="n">
        <f aca="false">D6-D18</f>
        <v>-1648.6410827703</v>
      </c>
      <c r="E19" s="22" t="n">
        <f aca="false">E6-E18</f>
        <v>146.212811440615</v>
      </c>
      <c r="F19" s="22" t="n">
        <f aca="false">F6-F18</f>
        <v>387.384292943259</v>
      </c>
      <c r="G19" s="22" t="n">
        <f aca="false">G6-G18</f>
        <v>660.263578786888</v>
      </c>
      <c r="H19" s="22" t="n">
        <f aca="false">H6-H18</f>
        <v>7235.17856682335</v>
      </c>
      <c r="I19" s="22" t="n">
        <f aca="false">I6-I18</f>
        <v>15268.783175762</v>
      </c>
      <c r="J19" s="22" t="n">
        <f aca="false">J6-J18</f>
        <v>25019.4134318928</v>
      </c>
      <c r="K19" s="22" t="n">
        <f aca="false">K6-K18</f>
        <v>36819.5208595182</v>
      </c>
      <c r="L19" s="22" t="n">
        <f aca="false">L6-L18</f>
        <v>51056.3250086205</v>
      </c>
      <c r="M19" s="22" t="n">
        <f aca="false">M6-M18</f>
        <v>68187.1869357545</v>
      </c>
      <c r="N19" s="15" t="n">
        <f aca="false">SUM(B19:M19)</f>
        <v>199418.866612865</v>
      </c>
      <c r="O19" s="12" t="s">
        <v>659</v>
      </c>
    </row>
    <row r="20" customFormat="false" ht="19.4" hidden="false" customHeight="false" outlineLevel="0" collapsed="false">
      <c r="A20" s="17" t="s">
        <v>660</v>
      </c>
      <c r="B20" s="18" t="n">
        <f aca="false">B19</f>
        <v>-2017.03859790274</v>
      </c>
      <c r="C20" s="18" t="n">
        <f aca="false">B20+C19</f>
        <v>-3712.76096590662</v>
      </c>
      <c r="D20" s="18" t="n">
        <f aca="false">C20+D19</f>
        <v>-5361.40204867692</v>
      </c>
      <c r="E20" s="18" t="n">
        <f aca="false">D20+E19</f>
        <v>-5215.1892372363</v>
      </c>
      <c r="F20" s="18" t="n">
        <f aca="false">E20+F19</f>
        <v>-4827.80494429305</v>
      </c>
      <c r="G20" s="18" t="n">
        <f aca="false">F20+G19</f>
        <v>-4167.54136550616</v>
      </c>
      <c r="H20" s="18" t="n">
        <f aca="false">G20+H19</f>
        <v>3067.6372013172</v>
      </c>
      <c r="I20" s="18" t="n">
        <f aca="false">H20+I19</f>
        <v>18336.4203770792</v>
      </c>
      <c r="J20" s="18" t="n">
        <f aca="false">I20+J19</f>
        <v>43355.833808972</v>
      </c>
      <c r="K20" s="18" t="n">
        <f aca="false">J20+K19</f>
        <v>80175.3546684902</v>
      </c>
      <c r="L20" s="18" t="n">
        <f aca="false">K20+L19</f>
        <v>131231.679677111</v>
      </c>
      <c r="M20" s="18" t="n">
        <f aca="false">L20+M19</f>
        <v>199418.866612865</v>
      </c>
      <c r="N20" s="20" t="n">
        <f aca="false">M20</f>
        <v>199418.866612865</v>
      </c>
      <c r="O20" s="12" t="s">
        <v>661</v>
      </c>
    </row>
    <row r="21" customFormat="false" ht="15" hidden="false" customHeight="false" outlineLevel="0" collapsed="false">
      <c r="A21" s="2" t="s">
        <v>662</v>
      </c>
      <c r="B21" s="109" t="n">
        <f aca="false">IFERROR(B19/B6,0)</f>
        <v>-4.4136511989119</v>
      </c>
      <c r="C21" s="109" t="n">
        <f aca="false">IFERROR(C19/C6,0)</f>
        <v>-3.39144473600776</v>
      </c>
      <c r="D21" s="109" t="n">
        <f aca="false">IFERROR(D19/D6,0)</f>
        <v>-3.00298922180382</v>
      </c>
      <c r="E21" s="109" t="n">
        <f aca="false">IFERROR(E19/E6,0)</f>
        <v>0.0604935090776229</v>
      </c>
      <c r="F21" s="109" t="n">
        <f aca="false">IFERROR(F19/F6,0)</f>
        <v>0.145196511597923</v>
      </c>
      <c r="G21" s="109" t="n">
        <f aca="false">IFERROR(G19/G6,0)</f>
        <v>0.223666523979298</v>
      </c>
      <c r="H21" s="109" t="n">
        <f aca="false">IFERROR(H19/H6,0)</f>
        <v>0.736929982361311</v>
      </c>
      <c r="I21" s="109" t="n">
        <f aca="false">IFERROR(I19/I6,0)</f>
        <v>0.839913261222401</v>
      </c>
      <c r="J21" s="109" t="n">
        <f aca="false">IFERROR(J19/J6,0)</f>
        <v>0.883235550248626</v>
      </c>
      <c r="K21" s="109" t="n">
        <f aca="false">IFERROR(K19/K6,0)</f>
        <v>0.906706088936126</v>
      </c>
      <c r="L21" s="109" t="n">
        <f aca="false">IFERROR(L19/L6,0)</f>
        <v>0.921178619911962</v>
      </c>
      <c r="M21" s="109" t="n">
        <f aca="false">IFERROR(M19/M6,0)</f>
        <v>0.930832267668039</v>
      </c>
      <c r="N21" s="121" t="n">
        <f aca="false">IFERROR(N19/N6,0)</f>
        <v>0.848035188059167</v>
      </c>
    </row>
    <row r="22" customFormat="false" ht="15" hidden="false" customHeight="false" outlineLevel="0" collapsed="false">
      <c r="A22" s="2" t="s">
        <v>663</v>
      </c>
      <c r="B22" s="84" t="n">
        <f aca="false">IFERROR(B18/B7,0)</f>
        <v>38.6568530922303</v>
      </c>
      <c r="C22" s="84" t="n">
        <f aca="false">IFERROR(C18/C7,0)</f>
        <v>31.8220633044041</v>
      </c>
      <c r="D22" s="84" t="n">
        <f aca="false">IFERROR(D18/D7,0)</f>
        <v>29.6978524698689</v>
      </c>
      <c r="E22" s="84" t="n">
        <f aca="false">IFERROR(E18/E7,0)</f>
        <v>7.14084021559555</v>
      </c>
      <c r="F22" s="84" t="n">
        <f aca="false">IFERROR(F18/F7,0)</f>
        <v>6.64902538500508</v>
      </c>
      <c r="G22" s="84" t="n">
        <f aca="false">IFERROR(G18/G7,0)</f>
        <v>6.1938822194949</v>
      </c>
      <c r="H22" s="84" t="n">
        <f aca="false">IFERROR(H18/H7,0)</f>
        <v>2.15594443503894</v>
      </c>
      <c r="I22" s="84" t="n">
        <f aca="false">IFERROR(I18/I7,0)</f>
        <v>1.34669913199351</v>
      </c>
      <c r="J22" s="84" t="n">
        <f aca="false">IFERROR(J18/J7,0)</f>
        <v>1.00933371013341</v>
      </c>
      <c r="K22" s="84" t="n">
        <f aca="false">IFERROR(K18/K7,0)</f>
        <v>0.828988871002582</v>
      </c>
      <c r="L22" s="84" t="n">
        <f aca="false">IFERROR(L18/L7,0)</f>
        <v>0.720309149444272</v>
      </c>
      <c r="M22" s="84" t="n">
        <f aca="false">IFERROR(M18/M7,0)</f>
        <v>0.650425297079011</v>
      </c>
    </row>
    <row r="24" customFormat="false" ht="15" hidden="false" customHeight="false" outlineLevel="0" collapsed="false">
      <c r="A24" s="9" t="s">
        <v>664</v>
      </c>
      <c r="B24" s="10"/>
      <c r="C24" s="10"/>
      <c r="D24" s="10"/>
      <c r="E24" s="10"/>
      <c r="F24" s="10"/>
      <c r="G24" s="10"/>
      <c r="H24" s="10"/>
      <c r="I24" s="10"/>
      <c r="J24" s="10"/>
      <c r="K24" s="10"/>
      <c r="L24" s="10"/>
      <c r="M24" s="10"/>
      <c r="N24" s="10"/>
      <c r="O24" s="10"/>
    </row>
    <row r="25" customFormat="false" ht="45.75" hidden="false" customHeight="true" outlineLevel="0" collapsed="false">
      <c r="A25" s="71" t="s">
        <v>665</v>
      </c>
      <c r="B25" s="71"/>
      <c r="C25" s="71"/>
      <c r="D25" s="71"/>
      <c r="E25" s="71"/>
      <c r="F25" s="71"/>
      <c r="G25" s="71"/>
      <c r="H25" s="71"/>
      <c r="I25" s="71"/>
      <c r="J25" s="71"/>
      <c r="K25" s="71"/>
      <c r="L25" s="71"/>
      <c r="M25" s="71"/>
      <c r="N25" s="71"/>
      <c r="O25" s="71"/>
    </row>
    <row r="26" customFormat="false" ht="45.75" hidden="false" customHeight="true" outlineLevel="0" collapsed="false">
      <c r="A26" s="71" t="s">
        <v>666</v>
      </c>
      <c r="B26" s="71"/>
      <c r="C26" s="71"/>
      <c r="D26" s="71"/>
      <c r="E26" s="71"/>
      <c r="F26" s="71"/>
      <c r="G26" s="71"/>
      <c r="H26" s="71"/>
      <c r="I26" s="71"/>
      <c r="J26" s="71"/>
      <c r="K26" s="71"/>
      <c r="L26" s="71"/>
      <c r="M26" s="71"/>
      <c r="N26" s="71"/>
      <c r="O26" s="71"/>
    </row>
    <row r="27" customFormat="false" ht="45.75" hidden="false" customHeight="true" outlineLevel="0" collapsed="false">
      <c r="A27" s="71" t="s">
        <v>667</v>
      </c>
      <c r="B27" s="71"/>
      <c r="C27" s="71"/>
      <c r="D27" s="71"/>
      <c r="E27" s="71"/>
      <c r="F27" s="71"/>
      <c r="G27" s="71"/>
      <c r="H27" s="71"/>
      <c r="I27" s="71"/>
      <c r="J27" s="71"/>
      <c r="K27" s="71"/>
      <c r="L27" s="71"/>
      <c r="M27" s="71"/>
      <c r="N27" s="71"/>
      <c r="O27" s="71"/>
    </row>
    <row r="29" customFormat="false" ht="15" hidden="false" customHeight="false" outlineLevel="0" collapsed="false">
      <c r="A29" s="9" t="s">
        <v>668</v>
      </c>
      <c r="B29" s="10"/>
      <c r="C29" s="10"/>
      <c r="D29" s="10"/>
      <c r="E29" s="10"/>
      <c r="F29" s="10"/>
      <c r="G29" s="10"/>
      <c r="H29" s="10"/>
      <c r="I29" s="10"/>
      <c r="J29" s="10"/>
      <c r="K29" s="10"/>
      <c r="L29" s="10"/>
      <c r="M29" s="10"/>
      <c r="N29" s="10"/>
      <c r="O29" s="10"/>
    </row>
    <row r="30" customFormat="false" ht="15" hidden="false" customHeight="false" outlineLevel="0" collapsed="false">
      <c r="A30" s="2" t="s">
        <v>669</v>
      </c>
      <c r="B30" s="106" t="n">
        <f aca="false">B6*0.5-(B18-B6*'Assumptions Rev C'!$B$54*0.5)</f>
        <v>-2236.83482517547</v>
      </c>
      <c r="C30" s="106" t="n">
        <f aca="false">C6*0.5-(C18-C6*'Assumptions Rev C'!$B$54*0.5)</f>
        <v>-1936.19964073115</v>
      </c>
      <c r="D30" s="106" t="n">
        <f aca="false">D6*0.5-(D18-D6*'Assumptions Rev C'!$B$54*0.5)</f>
        <v>-1912.68512822484</v>
      </c>
      <c r="E30" s="106" t="n">
        <f aca="false">E6*0.5-(E18-E6*'Assumptions Rev C'!$B$54*0.5)</f>
        <v>-1016.25432492302</v>
      </c>
      <c r="F30" s="106" t="n">
        <f aca="false">F6*0.5-(F18-F6*'Assumptions Rev C'!$B$54*0.5)</f>
        <v>-895.802434329469</v>
      </c>
      <c r="G30" s="106" t="n">
        <f aca="false">G6*0.5-(G18-G6*'Assumptions Rev C'!$B$54*0.5)</f>
        <v>-759.51423939493</v>
      </c>
      <c r="H30" s="106" t="n">
        <f aca="false">H6*0.5-(H18-H6*'Assumptions Rev C'!$B$54*0.5)</f>
        <v>2513.16683955063</v>
      </c>
      <c r="I30" s="106" t="n">
        <f aca="false">I6*0.5-(I18-I6*'Assumptions Rev C'!$B$54*0.5)</f>
        <v>6525.51049394384</v>
      </c>
      <c r="J30" s="106" t="n">
        <f aca="false">J6*0.5-(J18-J6*'Assumptions Rev C'!$B$54*0.5)</f>
        <v>11395.4140228019</v>
      </c>
      <c r="K30" s="106" t="n">
        <f aca="false">K6*0.5-(K18-K6*'Assumptions Rev C'!$B$54*0.5)</f>
        <v>17288.9186777</v>
      </c>
      <c r="L30" s="106" t="n">
        <f aca="false">L6*0.5-(L18-L6*'Assumptions Rev C'!$B$54*0.5)</f>
        <v>24399.4193268023</v>
      </c>
      <c r="M30" s="106" t="n">
        <f aca="false">M6*0.5-(M18-M6*'Assumptions Rev C'!$B$54*0.5)</f>
        <v>32955.3426630272</v>
      </c>
      <c r="O30" s="69" t="s">
        <v>670</v>
      </c>
    </row>
    <row r="31" customFormat="false" ht="15" hidden="false" customHeight="false" outlineLevel="0" collapsed="false">
      <c r="A31" s="2" t="s">
        <v>671</v>
      </c>
      <c r="B31" s="106" t="n">
        <f aca="false">B30</f>
        <v>-2236.83482517547</v>
      </c>
      <c r="C31" s="106" t="n">
        <f aca="false">B31+C30</f>
        <v>-4173.03446590662</v>
      </c>
      <c r="D31" s="106" t="n">
        <f aca="false">C31+D30</f>
        <v>-6085.71959413146</v>
      </c>
      <c r="E31" s="106" t="n">
        <f aca="false">D31+E30</f>
        <v>-7101.97391905449</v>
      </c>
      <c r="F31" s="106" t="n">
        <f aca="false">E31+F30</f>
        <v>-7997.77635338396</v>
      </c>
      <c r="G31" s="106" t="n">
        <f aca="false">F31+G30</f>
        <v>-8757.29059277889</v>
      </c>
      <c r="H31" s="106" t="n">
        <f aca="false">G31+H30</f>
        <v>-6244.12375322826</v>
      </c>
      <c r="I31" s="106" t="n">
        <f aca="false">H31+I30</f>
        <v>281.386740715582</v>
      </c>
      <c r="J31" s="106" t="n">
        <f aca="false">I31+J30</f>
        <v>11676.8007635175</v>
      </c>
      <c r="K31" s="106" t="n">
        <f aca="false">J31+K30</f>
        <v>28965.7194412175</v>
      </c>
      <c r="L31" s="106" t="n">
        <f aca="false">K31+L30</f>
        <v>53365.1387680198</v>
      </c>
      <c r="M31" s="106" t="n">
        <f aca="false">L31+M30</f>
        <v>86320.4814310471</v>
      </c>
    </row>
    <row r="32" customFormat="false" ht="15" hidden="false" customHeight="false" outlineLevel="0" collapsed="false">
      <c r="A32" s="2" t="s">
        <v>672</v>
      </c>
      <c r="B32" s="30" t="n">
        <f aca="false">IF(B20&gt;0,1,99)</f>
        <v>99</v>
      </c>
      <c r="C32" s="30" t="n">
        <f aca="false">IF(C20&gt;0,2,99)</f>
        <v>99</v>
      </c>
      <c r="D32" s="30" t="n">
        <f aca="false">IF(D20&gt;0,3,99)</f>
        <v>99</v>
      </c>
      <c r="E32" s="30" t="n">
        <f aca="false">IF(E20&gt;0,4,99)</f>
        <v>99</v>
      </c>
      <c r="F32" s="30" t="n">
        <f aca="false">IF(F20&gt;0,5,99)</f>
        <v>99</v>
      </c>
      <c r="G32" s="30" t="n">
        <f aca="false">IF(G20&gt;0,6,99)</f>
        <v>99</v>
      </c>
      <c r="H32" s="30" t="n">
        <f aca="false">IF(H20&gt;0,7,99)</f>
        <v>7</v>
      </c>
      <c r="I32" s="30" t="n">
        <f aca="false">IF(I20&gt;0,8,99)</f>
        <v>8</v>
      </c>
      <c r="J32" s="30" t="n">
        <f aca="false">IF(J20&gt;0,9,99)</f>
        <v>9</v>
      </c>
      <c r="K32" s="30" t="n">
        <f aca="false">IF(K20&gt;0,10,99)</f>
        <v>10</v>
      </c>
      <c r="L32" s="30" t="n">
        <f aca="false">IF(L20&gt;0,11,99)</f>
        <v>11</v>
      </c>
      <c r="M32" s="30" t="n">
        <f aca="false">IF(M20&gt;0,12,99)</f>
        <v>12</v>
      </c>
      <c r="N32" s="122" t="n">
        <f aca="false">MIN(B32:M32)</f>
        <v>7</v>
      </c>
      <c r="O32" s="69" t="s">
        <v>673</v>
      </c>
    </row>
    <row r="33" customFormat="false" ht="15" hidden="false" customHeight="false" outlineLevel="0" collapsed="false">
      <c r="A33" s="2" t="s">
        <v>674</v>
      </c>
      <c r="B33" s="106" t="n">
        <f aca="false">B6*0.25-(B18-B6*'Assumptions Rev C'!$B$54*0.75)</f>
        <v>-2346.73293881183</v>
      </c>
      <c r="C33" s="106" t="n">
        <f aca="false">B33+C6*0.25-(C18-C6*'Assumptions Rev C'!$B$54*0.75)</f>
        <v>-4403.17121590662</v>
      </c>
      <c r="D33" s="106" t="n">
        <f aca="false">C33+D6*0.25-(D18-D6*'Assumptions Rev C'!$B$54*0.75)</f>
        <v>-6447.87836685874</v>
      </c>
      <c r="E33" s="106" t="n">
        <f aca="false">D33+E6*0.25-(E18-E6*'Assumptions Rev C'!$B$54*0.75)</f>
        <v>-8045.36625996358</v>
      </c>
      <c r="F33" s="106" t="n">
        <f aca="false">E33+F6*0.25-(F18-F6*'Assumptions Rev C'!$B$54*0.75)</f>
        <v>-9582.76205792941</v>
      </c>
      <c r="G33" s="106" t="n">
        <f aca="false">F33+G6*0.25-(G18-G6*'Assumptions Rev C'!$B$54*0.75)</f>
        <v>-11052.1652064152</v>
      </c>
      <c r="H33" s="106" t="n">
        <f aca="false">G33+H6*0.25-(H18-H6*'Assumptions Rev C'!$B$54*0.75)</f>
        <v>-10900.004230501</v>
      </c>
      <c r="I33" s="106" t="n">
        <f aca="false">H33+I6*0.25-(I18-I6*'Assumptions Rev C'!$B$54*0.75)</f>
        <v>-8746.13007746623</v>
      </c>
      <c r="J33" s="106" t="n">
        <f aca="false">I33+J6*0.25-(J18-J6*'Assumptions Rev C'!$B$54*0.75)</f>
        <v>-4162.71575920978</v>
      </c>
      <c r="K33" s="106" t="n">
        <f aca="false">J33+K6*0.25-(K18-K6*'Assumptions Rev C'!$B$54*0.75)</f>
        <v>3360.90182758115</v>
      </c>
      <c r="L33" s="106" t="n">
        <f aca="false">K33+L6*0.25-(L18-L6*'Assumptions Rev C'!$B$54*0.75)</f>
        <v>14431.8683134744</v>
      </c>
      <c r="M33" s="106" t="n">
        <f aca="false">L33+M6*0.25-(M18-M6*'Assumptions Rev C'!$B$54*0.75)</f>
        <v>29771.288840138</v>
      </c>
    </row>
  </sheetData>
  <mergeCells count="4">
    <mergeCell ref="A2:O2"/>
    <mergeCell ref="A25:O25"/>
    <mergeCell ref="A26:O26"/>
    <mergeCell ref="A27:O27"/>
  </mergeCells>
  <conditionalFormatting sqref="B19:N19">
    <cfRule type="cellIs" priority="2" operator="lessThan" aboveAverage="0" equalAverage="0" bottom="0" percent="0" rank="0" text="" dxfId="0">
      <formula>0</formula>
    </cfRule>
  </conditionalFormatting>
  <conditionalFormatting sqref="B20:N20">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 collapsed="false" customWidth="true" hidden="false" outlineLevel="0" max="3" min="2" style="0" width="16"/>
    <col collapsed="false" customWidth="true" hidden="false" outlineLevel="0" max="4" min="4" style="0" width="66"/>
  </cols>
  <sheetData>
    <row r="1" customFormat="false" ht="21.75" hidden="false" customHeight="true" outlineLevel="0" collapsed="false">
      <c r="A1" s="1" t="s">
        <v>675</v>
      </c>
      <c r="B1" s="1"/>
      <c r="C1" s="1"/>
      <c r="D1" s="1"/>
    </row>
    <row r="2" customFormat="false" ht="31.5" hidden="false" customHeight="true" outlineLevel="0" collapsed="false">
      <c r="A2" s="92" t="s">
        <v>676</v>
      </c>
      <c r="B2" s="92"/>
      <c r="C2" s="92"/>
      <c r="D2" s="92"/>
    </row>
    <row r="4" customFormat="false" ht="15" hidden="false" customHeight="false" outlineLevel="0" collapsed="false">
      <c r="A4" s="9" t="s">
        <v>677</v>
      </c>
      <c r="B4" s="10"/>
      <c r="C4" s="10"/>
      <c r="D4" s="10"/>
    </row>
    <row r="5" customFormat="false" ht="30" hidden="false" customHeight="true" outlineLevel="0" collapsed="false">
      <c r="A5" s="3" t="s">
        <v>619</v>
      </c>
      <c r="B5" s="3" t="s">
        <v>289</v>
      </c>
      <c r="C5" s="3" t="s">
        <v>290</v>
      </c>
      <c r="D5" s="3" t="s">
        <v>86</v>
      </c>
    </row>
    <row r="6" customFormat="false" ht="15" hidden="false" customHeight="false" outlineLevel="0" collapsed="false">
      <c r="A6" s="26" t="s">
        <v>678</v>
      </c>
      <c r="B6" s="73" t="n">
        <f aca="false">'Subscriptions Register'!$E$59</f>
        <v>331.85</v>
      </c>
      <c r="C6" s="35" t="n">
        <f aca="false">B6*12</f>
        <v>3982.2</v>
      </c>
      <c r="D6" s="32" t="s">
        <v>679</v>
      </c>
    </row>
    <row r="7" customFormat="false" ht="15" hidden="false" customHeight="false" outlineLevel="0" collapsed="false">
      <c r="A7" s="26" t="s">
        <v>62</v>
      </c>
      <c r="B7" s="73" t="n">
        <f aca="false">'Assumptions Rev C'!$B$44</f>
        <v>1690.06785934608</v>
      </c>
      <c r="C7" s="35" t="n">
        <f aca="false">B7*12</f>
        <v>20280.814312153</v>
      </c>
      <c r="D7" s="32" t="s">
        <v>680</v>
      </c>
    </row>
    <row r="8" customFormat="false" ht="15" hidden="false" customHeight="false" outlineLevel="0" collapsed="false">
      <c r="A8" s="26" t="s">
        <v>97</v>
      </c>
      <c r="B8" s="73" t="n">
        <f aca="false">'Assumptions Rev C'!$B$49</f>
        <v>154.225786551511</v>
      </c>
      <c r="C8" s="35" t="n">
        <f aca="false">B8*12</f>
        <v>1850.70943861814</v>
      </c>
      <c r="D8" s="32" t="s">
        <v>681</v>
      </c>
    </row>
    <row r="9" customFormat="false" ht="15" hidden="false" customHeight="false" outlineLevel="0" collapsed="false">
      <c r="A9" s="26" t="s">
        <v>682</v>
      </c>
      <c r="B9" s="73" t="n">
        <f aca="false">'Assumptions Rev C'!$B$26</f>
        <v>22.23</v>
      </c>
      <c r="C9" s="35" t="n">
        <f aca="false">B9*12</f>
        <v>266.76</v>
      </c>
      <c r="D9" s="32" t="s">
        <v>683</v>
      </c>
    </row>
    <row r="10" customFormat="false" ht="15" hidden="false" customHeight="false" outlineLevel="0" collapsed="false">
      <c r="A10" s="80" t="s">
        <v>684</v>
      </c>
      <c r="B10" s="81" t="n">
        <f aca="false">SUM(B6:B8)</f>
        <v>2176.14364589759</v>
      </c>
      <c r="C10" s="82" t="n">
        <f aca="false">B10*12</f>
        <v>26113.7237507711</v>
      </c>
      <c r="D10" s="80"/>
    </row>
    <row r="11" customFormat="false" ht="15" hidden="false" customHeight="false" outlineLevel="0" collapsed="false">
      <c r="A11" s="77" t="s">
        <v>685</v>
      </c>
      <c r="B11" s="123" t="n">
        <f aca="false">SUM(B6:B9)</f>
        <v>2198.37364589759</v>
      </c>
      <c r="C11" s="124" t="n">
        <f aca="false">B11*12</f>
        <v>26380.4837507711</v>
      </c>
      <c r="D11" s="125"/>
    </row>
    <row r="12" customFormat="false" ht="15" hidden="false" customHeight="false" outlineLevel="0" collapsed="false">
      <c r="A12" s="2" t="s">
        <v>686</v>
      </c>
      <c r="B12" s="84" t="n">
        <f aca="false">B6</f>
        <v>331.85</v>
      </c>
      <c r="C12" s="109" t="n">
        <f aca="false">IFERROR(B12/B10,0)</f>
        <v>0.152494528854101</v>
      </c>
      <c r="D12" s="69" t="s">
        <v>687</v>
      </c>
    </row>
    <row r="13" customFormat="false" ht="15" hidden="false" customHeight="false" outlineLevel="0" collapsed="false">
      <c r="A13" s="2" t="s">
        <v>688</v>
      </c>
      <c r="B13" s="84" t="n">
        <f aca="false">B7+B8</f>
        <v>1844.29364589759</v>
      </c>
      <c r="C13" s="109" t="n">
        <f aca="false">IFERROR(B13/B10,0)</f>
        <v>0.847505471145899</v>
      </c>
      <c r="D13" s="69" t="s">
        <v>689</v>
      </c>
    </row>
    <row r="15" customFormat="false" ht="15" hidden="false" customHeight="false" outlineLevel="0" collapsed="false">
      <c r="A15" s="9" t="s">
        <v>690</v>
      </c>
      <c r="B15" s="10"/>
      <c r="C15" s="10"/>
      <c r="D15" s="10"/>
    </row>
    <row r="16" customFormat="false" ht="30" hidden="false" customHeight="true" outlineLevel="0" collapsed="false">
      <c r="A16" s="3" t="s">
        <v>691</v>
      </c>
      <c r="B16" s="3" t="s">
        <v>136</v>
      </c>
      <c r="C16" s="3"/>
      <c r="D16" s="3" t="s">
        <v>692</v>
      </c>
    </row>
    <row r="17" customFormat="false" ht="15" hidden="false" customHeight="false" outlineLevel="0" collapsed="false">
      <c r="A17" s="2" t="s">
        <v>693</v>
      </c>
      <c r="B17" s="106" t="n">
        <f aca="false">B10*'Assumptions Rev C'!$B$56</f>
        <v>13056.8618753856</v>
      </c>
      <c r="D17" s="69" t="s">
        <v>694</v>
      </c>
    </row>
    <row r="18" customFormat="false" ht="15" hidden="false" customHeight="false" outlineLevel="0" collapsed="false">
      <c r="A18" s="2" t="s">
        <v>695</v>
      </c>
      <c r="B18" s="106" t="n">
        <f aca="false">-MIN(0,MIN('Year 1 Cash Flow Rev C'!$B$20:$M$20))</f>
        <v>5361.40204867692</v>
      </c>
      <c r="D18" s="69" t="s">
        <v>696</v>
      </c>
    </row>
    <row r="19" customFormat="false" ht="15" hidden="false" customHeight="false" outlineLevel="0" collapsed="false">
      <c r="A19" s="2" t="s">
        <v>697</v>
      </c>
      <c r="B19" s="106" t="n">
        <f aca="false">-MIN(0,MIN('Year 1 Cash Flow Rev C'!$B$31:$M$31))</f>
        <v>8757.29059277889</v>
      </c>
      <c r="D19" s="69" t="s">
        <v>698</v>
      </c>
    </row>
    <row r="20" customFormat="false" ht="19.4" hidden="false" customHeight="false" outlineLevel="0" collapsed="false">
      <c r="A20" s="77" t="s">
        <v>699</v>
      </c>
      <c r="B20" s="66" t="n">
        <f aca="false">MAX(B17:B19)</f>
        <v>13056.8618753856</v>
      </c>
      <c r="C20" s="77"/>
      <c r="D20" s="126" t="s">
        <v>700</v>
      </c>
    </row>
    <row r="21" customFormat="false" ht="15" hidden="false" customHeight="false" outlineLevel="0" collapsed="false">
      <c r="A21" s="2" t="s">
        <v>701</v>
      </c>
      <c r="B21" s="127" t="n">
        <f aca="false">'Assumptions Rev C'!$B$57</f>
        <v>1.25</v>
      </c>
      <c r="D21" s="69" t="s">
        <v>702</v>
      </c>
    </row>
    <row r="22" customFormat="false" ht="15" hidden="false" customHeight="false" outlineLevel="0" collapsed="false">
      <c r="A22" s="128" t="s">
        <v>703</v>
      </c>
      <c r="B22" s="129" t="n">
        <f aca="false">ROUNDUP(B20*B21/100,0)*100</f>
        <v>16400</v>
      </c>
      <c r="C22" s="130" t="n">
        <f aca="false">B22*'Assumptions Rev C'!$B$6</f>
        <v>265844</v>
      </c>
      <c r="D22" s="83" t="s">
        <v>704</v>
      </c>
    </row>
    <row r="23" customFormat="false" ht="15" hidden="false" customHeight="false" outlineLevel="0" collapsed="false">
      <c r="A23" s="2" t="s">
        <v>705</v>
      </c>
      <c r="B23" s="131" t="n">
        <f aca="false">IFERROR(B22/B10,0)</f>
        <v>7.5362672087005</v>
      </c>
    </row>
    <row r="25" customFormat="false" ht="15" hidden="false" customHeight="false" outlineLevel="0" collapsed="false">
      <c r="A25" s="9" t="s">
        <v>706</v>
      </c>
      <c r="B25" s="10"/>
      <c r="C25" s="10"/>
      <c r="D25" s="10"/>
    </row>
    <row r="26" customFormat="false" ht="39.75" hidden="false" customHeight="true" outlineLevel="0" collapsed="false">
      <c r="A26" s="71" t="s">
        <v>707</v>
      </c>
      <c r="B26" s="71"/>
      <c r="C26" s="71"/>
      <c r="D26" s="71"/>
    </row>
    <row r="27" customFormat="false" ht="39.75" hidden="false" customHeight="true" outlineLevel="0" collapsed="false">
      <c r="A27" s="71" t="s">
        <v>708</v>
      </c>
      <c r="B27" s="71"/>
      <c r="C27" s="71"/>
      <c r="D27" s="71"/>
    </row>
    <row r="28" customFormat="false" ht="39.75" hidden="false" customHeight="true" outlineLevel="0" collapsed="false">
      <c r="A28" s="71" t="s">
        <v>709</v>
      </c>
      <c r="B28" s="71"/>
      <c r="C28" s="71"/>
      <c r="D28" s="71"/>
    </row>
    <row r="29" customFormat="false" ht="39.75" hidden="false" customHeight="true" outlineLevel="0" collapsed="false">
      <c r="A29" s="71" t="s">
        <v>710</v>
      </c>
      <c r="B29" s="71"/>
      <c r="C29" s="71"/>
      <c r="D29" s="71"/>
    </row>
    <row r="30" customFormat="false" ht="39.75" hidden="false" customHeight="true" outlineLevel="0" collapsed="false">
      <c r="A30" s="71" t="s">
        <v>711</v>
      </c>
      <c r="B30" s="71"/>
      <c r="C30" s="71"/>
      <c r="D30" s="71"/>
    </row>
    <row r="32" customFormat="false" ht="15" hidden="false" customHeight="false" outlineLevel="0" collapsed="false">
      <c r="A32" s="9" t="s">
        <v>712</v>
      </c>
      <c r="B32" s="10"/>
      <c r="C32" s="10"/>
      <c r="D32" s="10"/>
    </row>
    <row r="33" customFormat="false" ht="39.75" hidden="false" customHeight="true" outlineLevel="0" collapsed="false">
      <c r="A33" s="71" t="s">
        <v>713</v>
      </c>
      <c r="B33" s="71"/>
      <c r="C33" s="71"/>
      <c r="D33" s="71"/>
    </row>
    <row r="34" customFormat="false" ht="39.75" hidden="false" customHeight="true" outlineLevel="0" collapsed="false">
      <c r="A34" s="71" t="s">
        <v>714</v>
      </c>
      <c r="B34" s="71"/>
      <c r="C34" s="71"/>
      <c r="D34" s="71"/>
    </row>
    <row r="35" customFormat="false" ht="39.75" hidden="false" customHeight="true" outlineLevel="0" collapsed="false">
      <c r="A35" s="71" t="s">
        <v>715</v>
      </c>
      <c r="B35" s="71"/>
      <c r="C35" s="71"/>
      <c r="D35" s="71"/>
    </row>
    <row r="36" customFormat="false" ht="39.75" hidden="false" customHeight="true" outlineLevel="0" collapsed="false">
      <c r="A36" s="71" t="s">
        <v>716</v>
      </c>
      <c r="B36" s="71"/>
      <c r="C36" s="71"/>
      <c r="D36" s="71"/>
    </row>
  </sheetData>
  <mergeCells count="10">
    <mergeCell ref="A2:D2"/>
    <mergeCell ref="A26:D26"/>
    <mergeCell ref="A27:D27"/>
    <mergeCell ref="A28:D28"/>
    <mergeCell ref="A29:D29"/>
    <mergeCell ref="A30:D30"/>
    <mergeCell ref="A33:D33"/>
    <mergeCell ref="A34:D34"/>
    <mergeCell ref="A35:D35"/>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0" width="56.67"/>
    <col collapsed="false" customWidth="true" hidden="false" outlineLevel="0" max="2" min="2" style="0" width="14"/>
    <col collapsed="false" customWidth="true" hidden="false" outlineLevel="0" max="4" min="3" style="0" width="34"/>
    <col collapsed="false" customWidth="true" hidden="false" outlineLevel="0" max="5" min="5" style="0" width="70"/>
  </cols>
  <sheetData>
    <row r="1" customFormat="false" ht="15" hidden="false" customHeight="true" outlineLevel="0" collapsed="false">
      <c r="A1" s="132" t="s">
        <v>717</v>
      </c>
    </row>
    <row r="2" customFormat="false" ht="14.25" hidden="false" customHeight="false" outlineLevel="0" collapsed="false">
      <c r="A2" s="133" t="s">
        <v>718</v>
      </c>
      <c r="B2" s="133"/>
      <c r="C2" s="133"/>
      <c r="D2" s="133"/>
      <c r="E2" s="133"/>
    </row>
    <row r="4" customFormat="false" ht="14.25" hidden="false" customHeight="false" outlineLevel="0" collapsed="false">
      <c r="A4" s="134" t="s">
        <v>719</v>
      </c>
      <c r="B4" s="134" t="s">
        <v>720</v>
      </c>
      <c r="C4" s="134" t="s">
        <v>721</v>
      </c>
      <c r="D4" s="134" t="s">
        <v>722</v>
      </c>
      <c r="E4" s="134" t="s">
        <v>723</v>
      </c>
    </row>
    <row r="5" customFormat="false" ht="28.5" hidden="false" customHeight="true" outlineLevel="0" collapsed="false">
      <c r="A5" s="135" t="s">
        <v>724</v>
      </c>
      <c r="B5" s="135" t="s">
        <v>725</v>
      </c>
      <c r="C5" s="135" t="s">
        <v>726</v>
      </c>
      <c r="D5" s="135" t="s">
        <v>727</v>
      </c>
      <c r="E5" s="135" t="s">
        <v>728</v>
      </c>
    </row>
    <row r="6" customFormat="false" ht="28.5" hidden="false" customHeight="true" outlineLevel="0" collapsed="false">
      <c r="A6" s="135" t="s">
        <v>724</v>
      </c>
      <c r="B6" s="135" t="s">
        <v>729</v>
      </c>
      <c r="C6" s="135" t="s">
        <v>730</v>
      </c>
      <c r="D6" s="135" t="s">
        <v>731</v>
      </c>
      <c r="E6" s="135" t="s">
        <v>732</v>
      </c>
    </row>
    <row r="7" customFormat="false" ht="42.75" hidden="false" customHeight="true" outlineLevel="0" collapsed="false">
      <c r="A7" s="135" t="s">
        <v>724</v>
      </c>
      <c r="B7" s="135" t="s">
        <v>733</v>
      </c>
      <c r="C7" s="135" t="s">
        <v>734</v>
      </c>
      <c r="D7" s="135" t="s">
        <v>735</v>
      </c>
      <c r="E7" s="135" t="s">
        <v>736</v>
      </c>
    </row>
    <row r="8" customFormat="false" ht="28.5" hidden="false" customHeight="true" outlineLevel="0" collapsed="false">
      <c r="A8" s="135" t="s">
        <v>724</v>
      </c>
      <c r="B8" s="135" t="s">
        <v>737</v>
      </c>
      <c r="C8" s="135" t="s">
        <v>738</v>
      </c>
      <c r="D8" s="135" t="s">
        <v>739</v>
      </c>
      <c r="E8" s="135" t="s">
        <v>740</v>
      </c>
    </row>
    <row r="9" customFormat="false" ht="28.5" hidden="false" customHeight="true" outlineLevel="0" collapsed="false">
      <c r="A9" s="135" t="s">
        <v>741</v>
      </c>
      <c r="B9" s="135" t="s">
        <v>742</v>
      </c>
      <c r="C9" s="135" t="s">
        <v>743</v>
      </c>
      <c r="D9" s="135" t="s">
        <v>106</v>
      </c>
      <c r="E9" s="135" t="s">
        <v>744</v>
      </c>
    </row>
    <row r="10" customFormat="false" ht="28.5" hidden="false" customHeight="true" outlineLevel="0" collapsed="false">
      <c r="A10" s="135" t="s">
        <v>741</v>
      </c>
      <c r="B10" s="135" t="s">
        <v>745</v>
      </c>
      <c r="C10" s="135" t="s">
        <v>746</v>
      </c>
      <c r="D10" s="135"/>
      <c r="E10" s="135" t="s">
        <v>747</v>
      </c>
    </row>
    <row r="11" customFormat="false" ht="42.75" hidden="false" customHeight="true" outlineLevel="0" collapsed="false">
      <c r="A11" s="135" t="s">
        <v>741</v>
      </c>
      <c r="B11" s="135" t="s">
        <v>748</v>
      </c>
      <c r="C11" s="135" t="s">
        <v>749</v>
      </c>
      <c r="D11" s="135" t="s">
        <v>750</v>
      </c>
      <c r="E11" s="135" t="s">
        <v>751</v>
      </c>
    </row>
    <row r="12" customFormat="false" ht="28.5" hidden="false" customHeight="true" outlineLevel="0" collapsed="false">
      <c r="A12" s="135" t="s">
        <v>741</v>
      </c>
      <c r="B12" s="135" t="s">
        <v>752</v>
      </c>
      <c r="C12" s="135" t="s">
        <v>753</v>
      </c>
      <c r="D12" s="135"/>
      <c r="E12" s="135" t="s">
        <v>754</v>
      </c>
    </row>
    <row r="13" customFormat="false" ht="14.25" hidden="false" customHeight="false" outlineLevel="0" collapsed="false">
      <c r="A13" s="135" t="s">
        <v>741</v>
      </c>
      <c r="B13" s="135" t="s">
        <v>755</v>
      </c>
      <c r="C13" s="135" t="s">
        <v>756</v>
      </c>
      <c r="D13" s="135"/>
      <c r="E13" s="135" t="s">
        <v>757</v>
      </c>
    </row>
    <row r="14" customFormat="false" ht="14.25" hidden="false" customHeight="false" outlineLevel="0" collapsed="false">
      <c r="A14" s="135" t="s">
        <v>741</v>
      </c>
      <c r="B14" s="135" t="s">
        <v>758</v>
      </c>
      <c r="C14" s="135" t="s">
        <v>759</v>
      </c>
      <c r="D14" s="135"/>
      <c r="E14" s="135" t="s">
        <v>760</v>
      </c>
    </row>
    <row r="15" customFormat="false" ht="14.25" hidden="false" customHeight="false" outlineLevel="0" collapsed="false">
      <c r="A15" s="135" t="s">
        <v>741</v>
      </c>
      <c r="B15" s="135" t="s">
        <v>761</v>
      </c>
      <c r="C15" s="135" t="s">
        <v>762</v>
      </c>
      <c r="D15" s="135"/>
      <c r="E15" s="135" t="s">
        <v>757</v>
      </c>
    </row>
    <row r="16" customFormat="false" ht="28.5" hidden="false" customHeight="true" outlineLevel="0" collapsed="false">
      <c r="A16" s="135" t="s">
        <v>741</v>
      </c>
      <c r="B16" s="135" t="s">
        <v>763</v>
      </c>
      <c r="C16" s="135" t="s">
        <v>764</v>
      </c>
      <c r="D16" s="135" t="s">
        <v>739</v>
      </c>
      <c r="E16" s="135" t="s">
        <v>765</v>
      </c>
    </row>
    <row r="17" customFormat="false" ht="28.5" hidden="false" customHeight="true" outlineLevel="0" collapsed="false">
      <c r="A17" s="135" t="s">
        <v>766</v>
      </c>
      <c r="B17" s="135" t="s">
        <v>767</v>
      </c>
      <c r="C17" s="135" t="s">
        <v>768</v>
      </c>
      <c r="D17" s="135" t="s">
        <v>769</v>
      </c>
      <c r="E17" s="135" t="s">
        <v>770</v>
      </c>
    </row>
    <row r="18" customFormat="false" ht="28.5" hidden="false" customHeight="true" outlineLevel="0" collapsed="false">
      <c r="A18" s="135" t="s">
        <v>771</v>
      </c>
      <c r="B18" s="135" t="s">
        <v>772</v>
      </c>
      <c r="C18" s="135" t="s">
        <v>773</v>
      </c>
      <c r="D18" s="135" t="s">
        <v>774</v>
      </c>
      <c r="E18" s="135" t="s">
        <v>775</v>
      </c>
    </row>
    <row r="19" customFormat="false" ht="28.5" hidden="false" customHeight="true" outlineLevel="0" collapsed="false">
      <c r="A19" s="135" t="s">
        <v>771</v>
      </c>
      <c r="B19" s="135" t="s">
        <v>776</v>
      </c>
      <c r="C19" s="135" t="s">
        <v>777</v>
      </c>
      <c r="D19" s="135" t="s">
        <v>778</v>
      </c>
      <c r="E19" s="135" t="s">
        <v>779</v>
      </c>
    </row>
    <row r="20" customFormat="false" ht="28.5" hidden="false" customHeight="true" outlineLevel="0" collapsed="false">
      <c r="A20" s="135" t="s">
        <v>780</v>
      </c>
      <c r="B20" s="135" t="s">
        <v>781</v>
      </c>
      <c r="C20" s="135" t="s">
        <v>782</v>
      </c>
      <c r="D20" s="135" t="s">
        <v>783</v>
      </c>
      <c r="E20" s="135" t="s">
        <v>784</v>
      </c>
    </row>
    <row r="22" customFormat="false" ht="14.25" hidden="false" customHeight="false" outlineLevel="0" collapsed="false">
      <c r="A22" s="136" t="s">
        <v>785</v>
      </c>
    </row>
    <row r="23" customFormat="false" ht="14.25" hidden="false" customHeight="false" outlineLevel="0" collapsed="false">
      <c r="A23" s="137" t="s">
        <v>786</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0" width="56.67"/>
    <col collapsed="false" customWidth="true" hidden="false" outlineLevel="0" max="4" min="2" style="0" width="15"/>
  </cols>
  <sheetData>
    <row r="1" customFormat="false" ht="15" hidden="false" customHeight="true" outlineLevel="0" collapsed="false">
      <c r="A1" s="138" t="s">
        <v>787</v>
      </c>
      <c r="B1" s="138"/>
      <c r="C1" s="138"/>
      <c r="D1" s="138"/>
    </row>
    <row r="2" customFormat="false" ht="15" hidden="false" customHeight="true" outlineLevel="0" collapsed="false">
      <c r="A2" s="139" t="s">
        <v>788</v>
      </c>
    </row>
    <row r="4" customFormat="false" ht="15" hidden="false" customHeight="true" outlineLevel="0" collapsed="false">
      <c r="A4" s="140" t="s">
        <v>789</v>
      </c>
      <c r="B4" s="141" t="s">
        <v>82</v>
      </c>
      <c r="C4" s="141" t="s">
        <v>83</v>
      </c>
      <c r="D4" s="141" t="s">
        <v>84</v>
      </c>
    </row>
    <row r="5" customFormat="false" ht="15" hidden="false" customHeight="true" outlineLevel="0" collapsed="false">
      <c r="A5" s="142" t="s">
        <v>790</v>
      </c>
      <c r="B5" s="142"/>
      <c r="C5" s="142"/>
      <c r="D5" s="142"/>
    </row>
    <row r="6" customFormat="false" ht="15" hidden="false" customHeight="true" outlineLevel="0" collapsed="false">
      <c r="A6" s="143" t="s">
        <v>791</v>
      </c>
      <c r="B6" s="144" t="n">
        <v>52</v>
      </c>
      <c r="C6" s="144" t="n">
        <v>52</v>
      </c>
      <c r="D6" s="144" t="n">
        <v>148</v>
      </c>
    </row>
    <row r="7" customFormat="false" ht="15" hidden="false" customHeight="true" outlineLevel="0" collapsed="false">
      <c r="A7" s="143" t="s">
        <v>792</v>
      </c>
      <c r="B7" s="144" t="n">
        <v>7790</v>
      </c>
      <c r="C7" s="144" t="n">
        <v>4368</v>
      </c>
      <c r="D7" s="144" t="n">
        <v>16872</v>
      </c>
    </row>
    <row r="8" customFormat="false" ht="15" hidden="false" customHeight="true" outlineLevel="0" collapsed="false">
      <c r="A8" s="143" t="s">
        <v>793</v>
      </c>
      <c r="B8" s="144" t="n">
        <v>38952</v>
      </c>
      <c r="C8" s="144" t="n">
        <v>24024</v>
      </c>
      <c r="D8" s="144" t="n">
        <v>118104</v>
      </c>
    </row>
    <row r="9" customFormat="false" ht="15" hidden="false" customHeight="true" outlineLevel="0" collapsed="false">
      <c r="A9" s="142" t="s">
        <v>794</v>
      </c>
      <c r="B9" s="142"/>
      <c r="C9" s="142"/>
      <c r="D9" s="142"/>
    </row>
    <row r="10" customFormat="false" ht="15" hidden="false" customHeight="true" outlineLevel="0" collapsed="false">
      <c r="A10" s="143" t="s">
        <v>795</v>
      </c>
      <c r="B10" s="145" t="n">
        <v>158968</v>
      </c>
      <c r="C10" s="145" t="n">
        <v>478348</v>
      </c>
      <c r="D10" s="145" t="n">
        <v>2645192</v>
      </c>
    </row>
    <row r="11" customFormat="false" ht="15" hidden="false" customHeight="true" outlineLevel="0" collapsed="false">
      <c r="A11" s="143" t="s">
        <v>796</v>
      </c>
      <c r="B11" s="145" t="n">
        <v>42228</v>
      </c>
      <c r="C11" s="145" t="n">
        <v>102313</v>
      </c>
      <c r="D11" s="145" t="n">
        <v>592799</v>
      </c>
    </row>
    <row r="12" customFormat="false" ht="15" hidden="false" customHeight="true" outlineLevel="0" collapsed="false">
      <c r="A12" s="143" t="s">
        <v>797</v>
      </c>
      <c r="B12" s="145" t="n">
        <v>33958</v>
      </c>
      <c r="C12" s="145" t="n">
        <v>110512</v>
      </c>
      <c r="D12" s="145" t="n">
        <v>757303</v>
      </c>
    </row>
    <row r="13" customFormat="false" ht="15" hidden="false" customHeight="true" outlineLevel="0" collapsed="false">
      <c r="A13" s="146" t="s">
        <v>798</v>
      </c>
      <c r="B13" s="147" t="n">
        <v>235154</v>
      </c>
      <c r="C13" s="147" t="n">
        <v>691173</v>
      </c>
      <c r="D13" s="147" t="n">
        <v>3995294</v>
      </c>
    </row>
    <row r="14" customFormat="false" ht="15" hidden="false" customHeight="true" outlineLevel="0" collapsed="false">
      <c r="A14" s="142" t="s">
        <v>799</v>
      </c>
      <c r="B14" s="142"/>
      <c r="C14" s="142"/>
      <c r="D14" s="142"/>
    </row>
    <row r="15" customFormat="false" ht="15" hidden="false" customHeight="true" outlineLevel="0" collapsed="false">
      <c r="A15" s="143" t="s">
        <v>800</v>
      </c>
      <c r="B15" s="145" t="n">
        <v>1545</v>
      </c>
      <c r="C15" s="145" t="n">
        <v>2358</v>
      </c>
      <c r="D15" s="145" t="n">
        <v>3108</v>
      </c>
    </row>
    <row r="16" customFormat="false" ht="15" hidden="false" customHeight="true" outlineLevel="0" collapsed="false">
      <c r="A16" s="143" t="s">
        <v>801</v>
      </c>
      <c r="B16" s="145" t="n">
        <v>0</v>
      </c>
      <c r="C16" s="145" t="n">
        <v>1200</v>
      </c>
      <c r="D16" s="145" t="n">
        <v>1200</v>
      </c>
    </row>
    <row r="17" customFormat="false" ht="15" hidden="false" customHeight="true" outlineLevel="0" collapsed="false">
      <c r="A17" s="143" t="s">
        <v>802</v>
      </c>
      <c r="B17" s="145" t="n">
        <v>0</v>
      </c>
      <c r="C17" s="145" t="n">
        <v>1622</v>
      </c>
      <c r="D17" s="145" t="n">
        <v>1622</v>
      </c>
    </row>
    <row r="18" customFormat="false" ht="15" hidden="false" customHeight="true" outlineLevel="0" collapsed="false">
      <c r="A18" s="143" t="s">
        <v>803</v>
      </c>
      <c r="B18" s="144" t="n">
        <f aca="false">B13*Assumptions!$B$36</f>
        <v>8959.3674</v>
      </c>
      <c r="C18" s="144" t="n">
        <f aca="false">C13*Assumptions!$B$36</f>
        <v>26333.6913</v>
      </c>
      <c r="D18" s="144" t="n">
        <f aca="false">D13*Assumptions!$B$36</f>
        <v>152220.7014</v>
      </c>
    </row>
    <row r="19" customFormat="false" ht="15" hidden="false" customHeight="true" outlineLevel="0" collapsed="false">
      <c r="A19" s="143" t="s">
        <v>804</v>
      </c>
      <c r="B19" s="148" t="n">
        <v>627</v>
      </c>
      <c r="C19" s="148" t="n">
        <v>1292</v>
      </c>
      <c r="D19" s="148" t="n">
        <v>8398</v>
      </c>
    </row>
    <row r="20" customFormat="false" ht="15" hidden="false" customHeight="true" outlineLevel="0" collapsed="false">
      <c r="A20" s="146" t="s">
        <v>805</v>
      </c>
      <c r="B20" s="149" t="n">
        <f aca="false">SUM(B15:B19)</f>
        <v>11131.3674</v>
      </c>
      <c r="C20" s="149" t="n">
        <f aca="false">SUM(C15:C19)</f>
        <v>32805.6913</v>
      </c>
      <c r="D20" s="149" t="n">
        <f aca="false">SUM(D15:D19)</f>
        <v>166548.7014</v>
      </c>
    </row>
    <row r="21" customFormat="false" ht="15" hidden="false" customHeight="true" outlineLevel="0" collapsed="false">
      <c r="A21" s="146" t="s">
        <v>806</v>
      </c>
      <c r="B21" s="149" t="n">
        <f aca="false">B13-B20</f>
        <v>224022.6326</v>
      </c>
      <c r="C21" s="149" t="n">
        <f aca="false">C13-C20</f>
        <v>658367.3087</v>
      </c>
      <c r="D21" s="149" t="n">
        <f aca="false">D13-D20</f>
        <v>3828745.2986</v>
      </c>
    </row>
    <row r="22" customFormat="false" ht="15" hidden="false" customHeight="true" outlineLevel="0" collapsed="false">
      <c r="A22" s="143" t="s">
        <v>807</v>
      </c>
      <c r="B22" s="150" t="n">
        <f aca="false">B21/B13</f>
        <v>0.95266349966405</v>
      </c>
      <c r="C22" s="150" t="n">
        <f aca="false">C21/C13</f>
        <v>0.952536208300961</v>
      </c>
      <c r="D22" s="150" t="n">
        <f aca="false">D21/D13</f>
        <v>0.958313780813127</v>
      </c>
    </row>
    <row r="23" customFormat="false" ht="15" hidden="false" customHeight="true" outlineLevel="0" collapsed="false">
      <c r="A23" s="142" t="s">
        <v>808</v>
      </c>
      <c r="B23" s="142"/>
      <c r="C23" s="142"/>
      <c r="D23" s="142"/>
    </row>
    <row r="24" customFormat="false" ht="15" hidden="false" customHeight="true" outlineLevel="0" collapsed="false">
      <c r="A24" s="151" t="s">
        <v>809</v>
      </c>
      <c r="B24" s="152" t="n">
        <v>0.676</v>
      </c>
      <c r="C24" s="152" t="n">
        <v>0.692</v>
      </c>
      <c r="D24" s="152" t="n">
        <v>0.662</v>
      </c>
    </row>
    <row r="25" customFormat="false" ht="15" hidden="false" customHeight="true" outlineLevel="0" collapsed="false">
      <c r="A25" s="151" t="s">
        <v>810</v>
      </c>
      <c r="B25" s="152" t="n">
        <v>0.18</v>
      </c>
      <c r="C25" s="152" t="n">
        <v>0.148</v>
      </c>
      <c r="D25" s="152" t="n">
        <v>0.148</v>
      </c>
    </row>
    <row r="26" customFormat="false" ht="15" hidden="false" customHeight="true" outlineLevel="0" collapsed="false">
      <c r="A26" s="151" t="s">
        <v>811</v>
      </c>
      <c r="B26" s="152" t="n">
        <v>0.144</v>
      </c>
      <c r="C26" s="152" t="n">
        <v>0.16</v>
      </c>
      <c r="D26" s="152" t="n">
        <v>0.19</v>
      </c>
    </row>
    <row r="27" customFormat="false" ht="15" hidden="false" customHeight="true" outlineLevel="0" collapsed="false">
      <c r="A27" s="142" t="s">
        <v>812</v>
      </c>
      <c r="B27" s="142"/>
      <c r="C27" s="142"/>
      <c r="D27" s="142"/>
    </row>
    <row r="28" customFormat="false" ht="15" hidden="false" customHeight="true" outlineLevel="0" collapsed="false">
      <c r="A28" s="143" t="s">
        <v>813</v>
      </c>
      <c r="B28" s="145" t="n">
        <v>30</v>
      </c>
      <c r="C28" s="145" t="n">
        <v>158</v>
      </c>
      <c r="D28" s="145" t="n">
        <v>237</v>
      </c>
    </row>
    <row r="29" customFormat="false" ht="15" hidden="false" customHeight="true" outlineLevel="0" collapsed="false">
      <c r="A29" s="143" t="s">
        <v>814</v>
      </c>
      <c r="B29" s="153" t="n">
        <f aca="false">B20/B7</f>
        <v>1.4289303465982</v>
      </c>
      <c r="C29" s="153" t="n">
        <f aca="false">C20/C7</f>
        <v>7.51046046245421</v>
      </c>
      <c r="D29" s="153" t="n">
        <f aca="false">D20/D7</f>
        <v>9.87130757467994</v>
      </c>
    </row>
    <row r="30" customFormat="false" ht="15" hidden="false" customHeight="true" outlineLevel="0" collapsed="false">
      <c r="A30" s="143" t="s">
        <v>815</v>
      </c>
      <c r="B30" s="144" t="n">
        <v>1757</v>
      </c>
      <c r="C30" s="144" t="n">
        <v>1757</v>
      </c>
      <c r="D30" s="144" t="n">
        <v>1757</v>
      </c>
    </row>
    <row r="32" customFormat="false" ht="14.25" hidden="false" customHeight="false" outlineLevel="0" collapsed="false">
      <c r="A32" s="154" t="s">
        <v>816</v>
      </c>
      <c r="B32" s="155"/>
      <c r="C32" s="155"/>
      <c r="D32" s="155"/>
    </row>
    <row r="33" customFormat="false" ht="43.5" hidden="false" customHeight="true" outlineLevel="0" collapsed="false">
      <c r="A33" s="12" t="s">
        <v>817</v>
      </c>
    </row>
  </sheetData>
  <mergeCells count="6">
    <mergeCell ref="A1:D1"/>
    <mergeCell ref="A5:D5"/>
    <mergeCell ref="A9:D9"/>
    <mergeCell ref="A14:D14"/>
    <mergeCell ref="A23:D23"/>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4" min="3" style="0" width="9"/>
    <col collapsed="false" customWidth="true" hidden="false" outlineLevel="0" max="6" min="5" style="0" width="10"/>
    <col collapsed="false" customWidth="true" hidden="false" outlineLevel="0" max="7" min="7" style="0" width="9"/>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3" min="11" style="0" width="6"/>
  </cols>
  <sheetData>
    <row r="1" customFormat="false" ht="15" hidden="false" customHeight="true" outlineLevel="0" collapsed="false">
      <c r="A1" s="138" t="s">
        <v>818</v>
      </c>
      <c r="B1" s="138"/>
      <c r="C1" s="138"/>
      <c r="D1" s="138"/>
      <c r="E1" s="138"/>
      <c r="F1" s="138"/>
      <c r="G1" s="138"/>
      <c r="H1" s="138"/>
      <c r="I1" s="138"/>
      <c r="J1" s="138"/>
      <c r="K1" s="138"/>
      <c r="L1" s="138"/>
      <c r="M1" s="138"/>
    </row>
    <row r="2" customFormat="false" ht="15" hidden="false" customHeight="true" outlineLevel="0" collapsed="false">
      <c r="A2" s="139" t="s">
        <v>819</v>
      </c>
    </row>
    <row r="4" customFormat="false" ht="15" hidden="false" customHeight="true" outlineLevel="0" collapsed="false">
      <c r="A4" s="141" t="s">
        <v>820</v>
      </c>
      <c r="B4" s="141" t="s">
        <v>821</v>
      </c>
      <c r="C4" s="141" t="s">
        <v>88</v>
      </c>
      <c r="D4" s="141" t="s">
        <v>822</v>
      </c>
      <c r="E4" s="141" t="s">
        <v>823</v>
      </c>
      <c r="F4" s="141" t="s">
        <v>824</v>
      </c>
      <c r="G4" s="141" t="s">
        <v>825</v>
      </c>
      <c r="H4" s="141" t="s">
        <v>826</v>
      </c>
      <c r="I4" s="141" t="s">
        <v>827</v>
      </c>
      <c r="J4" s="141" t="s">
        <v>828</v>
      </c>
      <c r="K4" s="141" t="s">
        <v>829</v>
      </c>
      <c r="L4" s="141" t="s">
        <v>830</v>
      </c>
      <c r="M4" s="141" t="s">
        <v>831</v>
      </c>
    </row>
    <row r="5" customFormat="false" ht="15" hidden="false" customHeight="true" outlineLevel="0" collapsed="false">
      <c r="A5" s="156" t="n">
        <v>1</v>
      </c>
      <c r="B5" s="156" t="n">
        <v>1</v>
      </c>
      <c r="C5" s="157" t="n">
        <v>64</v>
      </c>
      <c r="D5" s="157" t="n">
        <v>144</v>
      </c>
      <c r="E5" s="158" t="n">
        <v>388</v>
      </c>
      <c r="F5" s="158" t="n">
        <v>30</v>
      </c>
      <c r="G5" s="158" t="n">
        <v>39</v>
      </c>
      <c r="H5" s="158" t="n">
        <v>457</v>
      </c>
      <c r="I5" s="158" t="n">
        <v>37</v>
      </c>
      <c r="J5" s="158" t="n">
        <v>420</v>
      </c>
      <c r="K5" s="159" t="n">
        <v>0.85</v>
      </c>
      <c r="L5" s="159" t="n">
        <v>0.07</v>
      </c>
      <c r="M5" s="159" t="n">
        <v>0.08</v>
      </c>
    </row>
    <row r="6" customFormat="false" ht="15" hidden="false" customHeight="true" outlineLevel="0" collapsed="false">
      <c r="A6" s="160" t="n">
        <v>2</v>
      </c>
      <c r="B6" s="160" t="n">
        <v>1</v>
      </c>
      <c r="C6" s="144" t="n">
        <v>69</v>
      </c>
      <c r="D6" s="144" t="n">
        <v>172</v>
      </c>
      <c r="E6" s="145" t="n">
        <v>416</v>
      </c>
      <c r="F6" s="145" t="n">
        <v>38</v>
      </c>
      <c r="G6" s="145" t="n">
        <v>46</v>
      </c>
      <c r="H6" s="145" t="n">
        <v>500</v>
      </c>
      <c r="I6" s="145" t="n">
        <v>37</v>
      </c>
      <c r="J6" s="145" t="n">
        <v>463</v>
      </c>
      <c r="K6" s="161" t="n">
        <v>0.83</v>
      </c>
      <c r="L6" s="161" t="n">
        <v>0.08</v>
      </c>
      <c r="M6" s="161" t="n">
        <v>0.09</v>
      </c>
    </row>
    <row r="7" customFormat="false" ht="15" hidden="false" customHeight="true" outlineLevel="0" collapsed="false">
      <c r="A7" s="156" t="n">
        <v>3</v>
      </c>
      <c r="B7" s="156" t="n">
        <v>1</v>
      </c>
      <c r="C7" s="157" t="n">
        <v>74</v>
      </c>
      <c r="D7" s="157" t="n">
        <v>203</v>
      </c>
      <c r="E7" s="158" t="n">
        <v>447</v>
      </c>
      <c r="F7" s="158" t="n">
        <v>48</v>
      </c>
      <c r="G7" s="158" t="n">
        <v>54</v>
      </c>
      <c r="H7" s="158" t="n">
        <v>549</v>
      </c>
      <c r="I7" s="158" t="n">
        <v>37</v>
      </c>
      <c r="J7" s="158" t="n">
        <v>512</v>
      </c>
      <c r="K7" s="159" t="n">
        <v>0.81</v>
      </c>
      <c r="L7" s="159" t="n">
        <v>0.09</v>
      </c>
      <c r="M7" s="159" t="n">
        <v>0.1</v>
      </c>
    </row>
    <row r="8" customFormat="false" ht="15" hidden="false" customHeight="true" outlineLevel="0" collapsed="false">
      <c r="A8" s="160" t="n">
        <v>4</v>
      </c>
      <c r="B8" s="160" t="n">
        <v>4</v>
      </c>
      <c r="C8" s="144" t="n">
        <v>318</v>
      </c>
      <c r="D8" s="144" t="n">
        <v>954</v>
      </c>
      <c r="E8" s="145" t="n">
        <v>1922</v>
      </c>
      <c r="F8" s="145" t="n">
        <v>242</v>
      </c>
      <c r="G8" s="145" t="n">
        <v>254</v>
      </c>
      <c r="H8" s="145" t="n">
        <v>2417</v>
      </c>
      <c r="I8" s="145" t="n">
        <v>140</v>
      </c>
      <c r="J8" s="145" t="n">
        <v>2277</v>
      </c>
      <c r="K8" s="161" t="n">
        <v>0.8</v>
      </c>
      <c r="L8" s="161" t="n">
        <v>0.1</v>
      </c>
      <c r="M8" s="161" t="n">
        <v>0.1</v>
      </c>
    </row>
    <row r="9" customFormat="false" ht="15" hidden="false" customHeight="true" outlineLevel="0" collapsed="false">
      <c r="A9" s="156" t="n">
        <v>5</v>
      </c>
      <c r="B9" s="156" t="n">
        <v>4</v>
      </c>
      <c r="C9" s="157" t="n">
        <v>343</v>
      </c>
      <c r="D9" s="157" t="n">
        <v>1113</v>
      </c>
      <c r="E9" s="158" t="n">
        <v>2071</v>
      </c>
      <c r="F9" s="158" t="n">
        <v>300</v>
      </c>
      <c r="G9" s="158" t="n">
        <v>298</v>
      </c>
      <c r="H9" s="158" t="n">
        <v>2668</v>
      </c>
      <c r="I9" s="158" t="n">
        <v>140</v>
      </c>
      <c r="J9" s="158" t="n">
        <v>2528</v>
      </c>
      <c r="K9" s="159" t="n">
        <v>0.78</v>
      </c>
      <c r="L9" s="159" t="n">
        <v>0.11</v>
      </c>
      <c r="M9" s="159" t="n">
        <v>0.11</v>
      </c>
    </row>
    <row r="10" customFormat="false" ht="15" hidden="false" customHeight="true" outlineLevel="0" collapsed="false">
      <c r="A10" s="160" t="n">
        <v>6</v>
      </c>
      <c r="B10" s="160" t="n">
        <v>4</v>
      </c>
      <c r="C10" s="144" t="n">
        <v>370</v>
      </c>
      <c r="D10" s="144" t="n">
        <v>1294</v>
      </c>
      <c r="E10" s="145" t="n">
        <v>2234</v>
      </c>
      <c r="F10" s="145" t="n">
        <v>369</v>
      </c>
      <c r="G10" s="145" t="n">
        <v>349</v>
      </c>
      <c r="H10" s="145" t="n">
        <v>2952</v>
      </c>
      <c r="I10" s="145" t="n">
        <v>140</v>
      </c>
      <c r="J10" s="145" t="n">
        <v>2812</v>
      </c>
      <c r="K10" s="161" t="n">
        <v>0.76</v>
      </c>
      <c r="L10" s="161" t="n">
        <v>0.12</v>
      </c>
      <c r="M10" s="161" t="n">
        <v>0.12</v>
      </c>
    </row>
    <row r="11" customFormat="false" ht="15" hidden="false" customHeight="true" outlineLevel="0" collapsed="false">
      <c r="A11" s="156" t="n">
        <v>7</v>
      </c>
      <c r="B11" s="156" t="n">
        <v>12</v>
      </c>
      <c r="C11" s="157" t="n">
        <v>1198</v>
      </c>
      <c r="D11" s="157" t="n">
        <v>4493</v>
      </c>
      <c r="E11" s="158" t="n">
        <v>7243</v>
      </c>
      <c r="F11" s="158" t="n">
        <v>1353</v>
      </c>
      <c r="G11" s="158" t="n">
        <v>1223</v>
      </c>
      <c r="H11" s="158" t="n">
        <v>9818</v>
      </c>
      <c r="I11" s="158" t="n">
        <v>148</v>
      </c>
      <c r="J11" s="158" t="n">
        <v>9670</v>
      </c>
      <c r="K11" s="159" t="n">
        <v>0.74</v>
      </c>
      <c r="L11" s="159" t="n">
        <v>0.14</v>
      </c>
      <c r="M11" s="159" t="n">
        <v>0.12</v>
      </c>
    </row>
    <row r="12" customFormat="false" ht="15" hidden="false" customHeight="true" outlineLevel="0" collapsed="false">
      <c r="A12" s="160" t="n">
        <v>8</v>
      </c>
      <c r="B12" s="160" t="n">
        <v>20</v>
      </c>
      <c r="C12" s="144" t="n">
        <v>2161</v>
      </c>
      <c r="D12" s="144" t="n">
        <v>8642</v>
      </c>
      <c r="E12" s="145" t="n">
        <v>13061</v>
      </c>
      <c r="F12" s="145" t="n">
        <v>2739</v>
      </c>
      <c r="G12" s="145" t="n">
        <v>2380</v>
      </c>
      <c r="H12" s="145" t="n">
        <v>18179</v>
      </c>
      <c r="I12" s="145" t="n">
        <v>156</v>
      </c>
      <c r="J12" s="145" t="n">
        <v>18023</v>
      </c>
      <c r="K12" s="161" t="n">
        <v>0.72</v>
      </c>
      <c r="L12" s="161" t="n">
        <v>0.15</v>
      </c>
      <c r="M12" s="161" t="n">
        <v>0.13</v>
      </c>
    </row>
    <row r="13" customFormat="false" ht="15" hidden="false" customHeight="true" outlineLevel="0" collapsed="false">
      <c r="A13" s="156" t="n">
        <v>9</v>
      </c>
      <c r="B13" s="156" t="n">
        <v>28</v>
      </c>
      <c r="C13" s="157" t="n">
        <v>3277</v>
      </c>
      <c r="D13" s="157" t="n">
        <v>13927</v>
      </c>
      <c r="E13" s="158" t="n">
        <v>19809</v>
      </c>
      <c r="F13" s="158" t="n">
        <v>4634</v>
      </c>
      <c r="G13" s="158" t="n">
        <v>3884</v>
      </c>
      <c r="H13" s="158" t="n">
        <v>28327</v>
      </c>
      <c r="I13" s="158" t="n">
        <v>164</v>
      </c>
      <c r="J13" s="158" t="n">
        <v>28163</v>
      </c>
      <c r="K13" s="159" t="n">
        <v>0.7</v>
      </c>
      <c r="L13" s="159" t="n">
        <v>0.16</v>
      </c>
      <c r="M13" s="159" t="n">
        <v>0.14</v>
      </c>
    </row>
    <row r="14" customFormat="false" ht="15" hidden="false" customHeight="true" outlineLevel="0" collapsed="false">
      <c r="A14" s="160" t="n">
        <v>10</v>
      </c>
      <c r="B14" s="160" t="n">
        <v>36</v>
      </c>
      <c r="C14" s="144" t="n">
        <v>4570</v>
      </c>
      <c r="D14" s="144" t="n">
        <v>20564</v>
      </c>
      <c r="E14" s="145" t="n">
        <v>27624</v>
      </c>
      <c r="F14" s="145" t="n">
        <v>7168</v>
      </c>
      <c r="G14" s="145" t="n">
        <v>5816</v>
      </c>
      <c r="H14" s="145" t="n">
        <v>40608</v>
      </c>
      <c r="I14" s="145" t="n">
        <v>172</v>
      </c>
      <c r="J14" s="145" t="n">
        <v>40436</v>
      </c>
      <c r="K14" s="161" t="n">
        <v>0.68</v>
      </c>
      <c r="L14" s="161" t="n">
        <v>0.18</v>
      </c>
      <c r="M14" s="161" t="n">
        <v>0.14</v>
      </c>
    </row>
    <row r="15" customFormat="false" ht="15" hidden="false" customHeight="true" outlineLevel="0" collapsed="false">
      <c r="A15" s="156" t="n">
        <v>11</v>
      </c>
      <c r="B15" s="156" t="n">
        <v>44</v>
      </c>
      <c r="C15" s="157" t="n">
        <v>6065</v>
      </c>
      <c r="D15" s="157" t="n">
        <v>28807</v>
      </c>
      <c r="E15" s="158" t="n">
        <v>36660</v>
      </c>
      <c r="F15" s="158" t="n">
        <v>10497</v>
      </c>
      <c r="G15" s="158" t="n">
        <v>8267</v>
      </c>
      <c r="H15" s="158" t="n">
        <v>55425</v>
      </c>
      <c r="I15" s="158" t="n">
        <v>180</v>
      </c>
      <c r="J15" s="158" t="n">
        <v>55245</v>
      </c>
      <c r="K15" s="159" t="n">
        <v>0.66</v>
      </c>
      <c r="L15" s="159" t="n">
        <v>0.19</v>
      </c>
      <c r="M15" s="159" t="n">
        <v>0.15</v>
      </c>
    </row>
    <row r="16" customFormat="false" ht="15" hidden="false" customHeight="true" outlineLevel="0" collapsed="false">
      <c r="A16" s="160" t="n">
        <v>12</v>
      </c>
      <c r="B16" s="160" t="n">
        <v>52</v>
      </c>
      <c r="C16" s="144" t="n">
        <v>7790</v>
      </c>
      <c r="D16" s="144" t="n">
        <v>38952</v>
      </c>
      <c r="E16" s="145" t="n">
        <v>47093</v>
      </c>
      <c r="F16" s="145" t="n">
        <v>14811</v>
      </c>
      <c r="G16" s="145" t="n">
        <v>11350</v>
      </c>
      <c r="H16" s="145" t="n">
        <v>73254</v>
      </c>
      <c r="I16" s="145" t="n">
        <v>188</v>
      </c>
      <c r="J16" s="145" t="n">
        <v>73066</v>
      </c>
      <c r="K16" s="161" t="n">
        <v>0.64</v>
      </c>
      <c r="L16" s="161" t="n">
        <v>0.2</v>
      </c>
      <c r="M16" s="161" t="n">
        <v>0.15</v>
      </c>
    </row>
    <row r="17" customFormat="false" ht="15" hidden="false" customHeight="true" outlineLevel="0" collapsed="false">
      <c r="A17" s="146" t="s">
        <v>832</v>
      </c>
      <c r="B17" s="162"/>
      <c r="E17" s="147" t="n">
        <v>158968</v>
      </c>
      <c r="F17" s="147" t="n">
        <v>42228</v>
      </c>
      <c r="G17" s="147" t="n">
        <v>33958</v>
      </c>
      <c r="H17" s="147" t="n">
        <v>235154</v>
      </c>
      <c r="I17" s="147" t="n">
        <v>1545</v>
      </c>
      <c r="J17" s="147" t="n">
        <v>233609</v>
      </c>
      <c r="K17" s="163" t="n">
        <v>0.68</v>
      </c>
      <c r="L17" s="163" t="n">
        <v>0.18</v>
      </c>
      <c r="M17" s="163" t="n">
        <v>0.14</v>
      </c>
    </row>
    <row r="19" customFormat="false" ht="14.25" hidden="false" customHeight="true" outlineLevel="0" collapsed="false">
      <c r="A19" s="164" t="s">
        <v>833</v>
      </c>
      <c r="B19" s="164"/>
      <c r="C19" s="164"/>
      <c r="D19" s="164"/>
      <c r="E19" s="164"/>
      <c r="F19" s="164"/>
      <c r="G19" s="164"/>
      <c r="H19" s="164"/>
      <c r="I19" s="164"/>
      <c r="J19" s="164"/>
      <c r="K19" s="164"/>
      <c r="L19" s="164"/>
      <c r="M19" s="164"/>
    </row>
    <row r="20" customFormat="false" ht="14.25" hidden="false" customHeight="false" outlineLevel="0" collapsed="false">
      <c r="A20" s="164"/>
      <c r="B20" s="164"/>
      <c r="C20" s="164"/>
      <c r="D20" s="164"/>
      <c r="E20" s="164"/>
      <c r="F20" s="164"/>
      <c r="G20" s="164"/>
      <c r="H20" s="164"/>
      <c r="I20" s="164"/>
      <c r="J20" s="164"/>
      <c r="K20" s="164"/>
      <c r="L20" s="164"/>
      <c r="M20" s="164"/>
    </row>
  </sheetData>
  <mergeCells count="2">
    <mergeCell ref="A1:M1"/>
    <mergeCell ref="A19:M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0" width="40"/>
    <col collapsed="false" customWidth="true" hidden="false" outlineLevel="0" max="6" min="2" style="0" width="13"/>
  </cols>
  <sheetData>
    <row r="1" customFormat="false" ht="15" hidden="false" customHeight="true" outlineLevel="0" collapsed="false">
      <c r="A1" s="138" t="s">
        <v>834</v>
      </c>
      <c r="B1" s="138"/>
      <c r="C1" s="138"/>
      <c r="D1" s="138"/>
      <c r="E1" s="138"/>
      <c r="F1" s="138"/>
    </row>
    <row r="2" customFormat="false" ht="15" hidden="false" customHeight="true" outlineLevel="0" collapsed="false">
      <c r="A2" s="139" t="s">
        <v>835</v>
      </c>
    </row>
    <row r="4" customFormat="false" ht="15" hidden="false" customHeight="true" outlineLevel="0" collapsed="false">
      <c r="A4" s="141" t="s">
        <v>146</v>
      </c>
      <c r="B4" s="141" t="s">
        <v>836</v>
      </c>
      <c r="C4" s="141" t="s">
        <v>837</v>
      </c>
      <c r="D4" s="141" t="s">
        <v>838</v>
      </c>
      <c r="E4" s="141" t="s">
        <v>839</v>
      </c>
      <c r="F4" s="141" t="s">
        <v>840</v>
      </c>
    </row>
    <row r="5" customFormat="false" ht="15" hidden="false" customHeight="true" outlineLevel="0" collapsed="false">
      <c r="A5" s="151" t="s">
        <v>841</v>
      </c>
      <c r="B5" s="165" t="n">
        <v>0.08</v>
      </c>
      <c r="C5" s="165" t="n">
        <v>0.02</v>
      </c>
      <c r="D5" s="158" t="n">
        <v>67</v>
      </c>
      <c r="E5" s="166" t="n">
        <v>0.24</v>
      </c>
      <c r="F5" s="165" t="n">
        <v>0.996417910447761</v>
      </c>
    </row>
    <row r="6" customFormat="false" ht="15" hidden="false" customHeight="true" outlineLevel="0" collapsed="false">
      <c r="A6" s="143" t="s">
        <v>842</v>
      </c>
      <c r="B6" s="167" t="n">
        <v>0.1</v>
      </c>
      <c r="C6" s="167" t="n">
        <v>0.03</v>
      </c>
      <c r="D6" s="145" t="n">
        <v>295</v>
      </c>
      <c r="E6" s="168" t="n">
        <v>1.06</v>
      </c>
      <c r="F6" s="167" t="n">
        <v>0.996406779661017</v>
      </c>
    </row>
    <row r="7" customFormat="false" ht="15" hidden="false" customHeight="true" outlineLevel="0" collapsed="false">
      <c r="A7" s="151" t="s">
        <v>843</v>
      </c>
      <c r="B7" s="165" t="n">
        <v>0.14</v>
      </c>
      <c r="C7" s="165" t="n">
        <v>0.05</v>
      </c>
      <c r="D7" s="158" t="n">
        <v>8200</v>
      </c>
      <c r="E7" s="166" t="n">
        <v>29.5</v>
      </c>
      <c r="F7" s="165" t="n">
        <v>0.99640243902439</v>
      </c>
    </row>
    <row r="8" customFormat="false" ht="15" hidden="false" customHeight="true" outlineLevel="0" collapsed="false">
      <c r="A8" s="143" t="s">
        <v>844</v>
      </c>
      <c r="B8" s="167" t="n">
        <v>0.2</v>
      </c>
      <c r="C8" s="167" t="n">
        <v>0.07</v>
      </c>
      <c r="D8" s="145" t="n">
        <v>11400</v>
      </c>
      <c r="E8" s="168" t="n">
        <v>41</v>
      </c>
      <c r="F8" s="167" t="n">
        <v>0.99640350877193</v>
      </c>
    </row>
    <row r="9" customFormat="false" ht="15" hidden="false" customHeight="true" outlineLevel="0" collapsed="false">
      <c r="A9" s="151" t="s">
        <v>845</v>
      </c>
      <c r="B9" s="165" t="n">
        <v>0.35</v>
      </c>
      <c r="C9" s="165" t="n">
        <v>0.1</v>
      </c>
      <c r="D9" s="158" t="n">
        <v>63000</v>
      </c>
      <c r="E9" s="166" t="n">
        <v>226.8</v>
      </c>
      <c r="F9" s="165" t="n">
        <v>0.9964</v>
      </c>
    </row>
    <row r="10" customFormat="false" ht="15" hidden="false" customHeight="true" outlineLevel="0" collapsed="false">
      <c r="A10" s="143" t="s">
        <v>846</v>
      </c>
      <c r="B10" s="167" t="n">
        <v>0.6</v>
      </c>
      <c r="C10" s="167" t="n">
        <v>0.15</v>
      </c>
      <c r="D10" s="145" t="n">
        <v>108000</v>
      </c>
      <c r="E10" s="168" t="n">
        <v>388.8</v>
      </c>
      <c r="F10" s="167" t="n">
        <v>0.9964</v>
      </c>
    </row>
    <row r="12" customFormat="false" ht="15" hidden="false" customHeight="true" outlineLevel="0" collapsed="false">
      <c r="A12" s="142" t="s">
        <v>847</v>
      </c>
      <c r="B12" s="142"/>
      <c r="C12" s="142"/>
      <c r="D12" s="142"/>
      <c r="E12" s="142"/>
      <c r="F12" s="142"/>
    </row>
    <row r="13" customFormat="false" ht="15" hidden="false" customHeight="true" outlineLevel="0" collapsed="false">
      <c r="A13" s="169" t="s">
        <v>848</v>
      </c>
      <c r="B13" s="169"/>
      <c r="C13" s="169"/>
      <c r="D13" s="169"/>
      <c r="E13" s="169"/>
      <c r="F13" s="169"/>
    </row>
    <row r="14" customFormat="false" ht="15" hidden="false" customHeight="true" outlineLevel="0" collapsed="false">
      <c r="A14" s="169" t="s">
        <v>849</v>
      </c>
      <c r="B14" s="169"/>
      <c r="C14" s="169"/>
      <c r="D14" s="169"/>
      <c r="E14" s="169"/>
      <c r="F14" s="169"/>
    </row>
    <row r="15" customFormat="false" ht="15" hidden="false" customHeight="true" outlineLevel="0" collapsed="false">
      <c r="A15" s="169" t="s">
        <v>850</v>
      </c>
      <c r="B15" s="169"/>
      <c r="C15" s="169"/>
      <c r="D15" s="169"/>
      <c r="E15" s="169"/>
      <c r="F15" s="169"/>
    </row>
    <row r="16" customFormat="false" ht="15" hidden="false" customHeight="true" outlineLevel="0" collapsed="false">
      <c r="A16" s="169" t="s">
        <v>851</v>
      </c>
      <c r="B16" s="169"/>
      <c r="C16" s="169"/>
      <c r="D16" s="169"/>
      <c r="E16" s="169"/>
      <c r="F16" s="169"/>
    </row>
    <row r="17" customFormat="false" ht="15" hidden="false" customHeight="true" outlineLevel="0" collapsed="false">
      <c r="A17" s="169" t="s">
        <v>852</v>
      </c>
      <c r="B17" s="169"/>
      <c r="C17" s="169"/>
      <c r="D17" s="169"/>
      <c r="E17" s="169"/>
      <c r="F17" s="169"/>
    </row>
    <row r="18" customFormat="false" ht="15" hidden="false" customHeight="true" outlineLevel="0" collapsed="false">
      <c r="A18" s="169" t="s">
        <v>853</v>
      </c>
      <c r="B18" s="169"/>
      <c r="C18" s="169"/>
      <c r="D18" s="169"/>
      <c r="E18" s="169"/>
      <c r="F18" s="169"/>
    </row>
    <row r="19" customFormat="false" ht="15" hidden="false" customHeight="true" outlineLevel="0" collapsed="false">
      <c r="A19" s="170" t="s">
        <v>854</v>
      </c>
    </row>
    <row r="21" customFormat="false" ht="14.25" hidden="false" customHeight="false" outlineLevel="0" collapsed="false">
      <c r="A21" s="137" t="s">
        <v>855</v>
      </c>
    </row>
  </sheetData>
  <mergeCells count="8">
    <mergeCell ref="A1:F1"/>
    <mergeCell ref="A12:F12"/>
    <mergeCell ref="A13:F13"/>
    <mergeCell ref="A14:F14"/>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0" width="42"/>
    <col collapsed="false" customWidth="true" hidden="false" outlineLevel="0" max="2" min="2" style="0" width="15"/>
    <col collapsed="false" customWidth="true" hidden="false" outlineLevel="0" max="3" min="3" style="0" width="50"/>
  </cols>
  <sheetData>
    <row r="1" customFormat="false" ht="15" hidden="false" customHeight="true" outlineLevel="0" collapsed="false">
      <c r="A1" s="138" t="s">
        <v>856</v>
      </c>
      <c r="B1" s="138"/>
      <c r="C1" s="138"/>
    </row>
    <row r="2" customFormat="false" ht="15" hidden="false" customHeight="true" outlineLevel="0" collapsed="false">
      <c r="A2" s="139" t="s">
        <v>857</v>
      </c>
    </row>
    <row r="4" customFormat="false" ht="15" hidden="false" customHeight="true" outlineLevel="0" collapsed="false">
      <c r="A4" s="142" t="s">
        <v>858</v>
      </c>
      <c r="B4" s="142"/>
      <c r="C4" s="142"/>
    </row>
    <row r="5" customFormat="false" ht="15" hidden="false" customHeight="true" outlineLevel="0" collapsed="false">
      <c r="A5" s="143" t="s">
        <v>859</v>
      </c>
      <c r="B5" s="171" t="n">
        <v>0</v>
      </c>
      <c r="C5" s="139" t="s">
        <v>860</v>
      </c>
    </row>
    <row r="6" customFormat="false" ht="15" hidden="false" customHeight="true" outlineLevel="0" collapsed="false">
      <c r="A6" s="143" t="s">
        <v>861</v>
      </c>
      <c r="B6" s="171" t="n">
        <v>5</v>
      </c>
      <c r="C6" s="139" t="s">
        <v>862</v>
      </c>
    </row>
    <row r="7" customFormat="false" ht="15" hidden="false" customHeight="true" outlineLevel="0" collapsed="false">
      <c r="A7" s="143" t="s">
        <v>863</v>
      </c>
      <c r="B7" s="171" t="n">
        <v>20</v>
      </c>
      <c r="C7" s="139" t="s">
        <v>864</v>
      </c>
    </row>
    <row r="8" customFormat="false" ht="15" hidden="false" customHeight="true" outlineLevel="0" collapsed="false">
      <c r="A8" s="143" t="s">
        <v>865</v>
      </c>
      <c r="B8" s="171" t="n">
        <v>0</v>
      </c>
      <c r="C8" s="139" t="s">
        <v>866</v>
      </c>
    </row>
    <row r="9" customFormat="false" ht="15" hidden="false" customHeight="true" outlineLevel="0" collapsed="false">
      <c r="A9" s="142" t="s">
        <v>867</v>
      </c>
      <c r="B9" s="142"/>
      <c r="C9" s="142"/>
    </row>
    <row r="10" customFormat="false" ht="15" hidden="false" customHeight="true" outlineLevel="0" collapsed="false">
      <c r="A10" s="143" t="s">
        <v>868</v>
      </c>
      <c r="B10" s="172" t="n">
        <v>0.65</v>
      </c>
      <c r="C10" s="139" t="s">
        <v>869</v>
      </c>
    </row>
    <row r="11" customFormat="false" ht="15" hidden="false" customHeight="true" outlineLevel="0" collapsed="false">
      <c r="A11" s="143" t="s">
        <v>870</v>
      </c>
      <c r="B11" s="172" t="n">
        <v>0.25</v>
      </c>
    </row>
    <row r="12" customFormat="false" ht="15" hidden="false" customHeight="true" outlineLevel="0" collapsed="false">
      <c r="A12" s="143" t="s">
        <v>871</v>
      </c>
      <c r="B12" s="172" t="n">
        <v>0.08</v>
      </c>
    </row>
    <row r="13" customFormat="false" ht="15" hidden="false" customHeight="true" outlineLevel="0" collapsed="false">
      <c r="A13" s="143" t="s">
        <v>872</v>
      </c>
      <c r="B13" s="172" t="n">
        <v>0.02</v>
      </c>
    </row>
    <row r="14" customFormat="false" ht="15" hidden="false" customHeight="true" outlineLevel="0" collapsed="false">
      <c r="A14" s="143" t="s">
        <v>873</v>
      </c>
      <c r="B14" s="172"/>
      <c r="C14" s="0" t="s">
        <v>874</v>
      </c>
    </row>
    <row r="15" customFormat="false" ht="15" hidden="false" customHeight="true" outlineLevel="0" collapsed="false">
      <c r="A15" s="142" t="s">
        <v>875</v>
      </c>
      <c r="B15" s="142"/>
      <c r="C15" s="142"/>
    </row>
    <row r="16" customFormat="false" ht="15" hidden="false" customHeight="true" outlineLevel="0" collapsed="false">
      <c r="A16" s="143" t="s">
        <v>876</v>
      </c>
      <c r="B16" s="171" t="n">
        <v>2</v>
      </c>
      <c r="C16" s="139" t="s">
        <v>877</v>
      </c>
    </row>
    <row r="17" customFormat="false" ht="15" hidden="false" customHeight="true" outlineLevel="0" collapsed="false">
      <c r="A17" s="143" t="s">
        <v>878</v>
      </c>
      <c r="B17" s="173" t="n">
        <v>0.15</v>
      </c>
      <c r="C17" s="139" t="s">
        <v>879</v>
      </c>
    </row>
    <row r="18" customFormat="false" ht="15" hidden="false" customHeight="true" outlineLevel="0" collapsed="false">
      <c r="A18" s="143" t="s">
        <v>880</v>
      </c>
      <c r="B18" s="173" t="n">
        <v>0.35</v>
      </c>
      <c r="C18" s="139" t="s">
        <v>881</v>
      </c>
    </row>
    <row r="19" customFormat="false" ht="15" hidden="false" customHeight="true" outlineLevel="0" collapsed="false">
      <c r="A19" s="143" t="s">
        <v>882</v>
      </c>
      <c r="B19" s="172" t="n">
        <v>0.65</v>
      </c>
      <c r="C19" s="139" t="s">
        <v>883</v>
      </c>
    </row>
    <row r="20" customFormat="false" ht="15" hidden="false" customHeight="true" outlineLevel="0" collapsed="false">
      <c r="A20" s="143" t="s">
        <v>884</v>
      </c>
      <c r="B20" s="174" t="n">
        <v>2.5</v>
      </c>
      <c r="C20" s="139" t="s">
        <v>885</v>
      </c>
    </row>
    <row r="21" customFormat="false" ht="15" hidden="false" customHeight="true" outlineLevel="0" collapsed="false">
      <c r="A21" s="143" t="s">
        <v>886</v>
      </c>
      <c r="B21" s="174" t="n">
        <v>6</v>
      </c>
      <c r="C21" s="139" t="s">
        <v>887</v>
      </c>
    </row>
    <row r="22" customFormat="false" ht="15" hidden="false" customHeight="true" outlineLevel="0" collapsed="false">
      <c r="A22" s="142" t="s">
        <v>888</v>
      </c>
      <c r="B22" s="142"/>
      <c r="C22" s="142"/>
    </row>
    <row r="23" customFormat="false" ht="15" hidden="false" customHeight="true" outlineLevel="0" collapsed="false">
      <c r="A23" s="143" t="s">
        <v>889</v>
      </c>
      <c r="B23" s="172" t="n">
        <v>0.08</v>
      </c>
      <c r="C23" s="139" t="s">
        <v>890</v>
      </c>
    </row>
    <row r="24" customFormat="false" ht="15" hidden="false" customHeight="true" outlineLevel="0" collapsed="false">
      <c r="A24" s="143" t="s">
        <v>891</v>
      </c>
      <c r="B24" s="172" t="n">
        <v>0.35</v>
      </c>
      <c r="C24" s="139" t="s">
        <v>892</v>
      </c>
    </row>
    <row r="25" customFormat="false" ht="15" hidden="false" customHeight="true" outlineLevel="0" collapsed="false">
      <c r="A25" s="143" t="s">
        <v>893</v>
      </c>
      <c r="B25" s="174" t="n">
        <v>3</v>
      </c>
      <c r="C25" s="139" t="s">
        <v>894</v>
      </c>
    </row>
    <row r="26" customFormat="false" ht="15" hidden="false" customHeight="true" outlineLevel="0" collapsed="false">
      <c r="A26" s="143" t="s">
        <v>895</v>
      </c>
      <c r="B26" s="172" t="n">
        <v>0.02</v>
      </c>
      <c r="C26" s="139" t="s">
        <v>896</v>
      </c>
    </row>
    <row r="27" customFormat="false" ht="15" hidden="false" customHeight="true" outlineLevel="0" collapsed="false">
      <c r="A27" s="143" t="s">
        <v>897</v>
      </c>
      <c r="B27" s="172" t="n">
        <v>0.1</v>
      </c>
      <c r="C27" s="139" t="s">
        <v>898</v>
      </c>
    </row>
    <row r="28" customFormat="false" ht="15" hidden="false" customHeight="true" outlineLevel="0" collapsed="false">
      <c r="A28" s="143" t="s">
        <v>899</v>
      </c>
      <c r="B28" s="171" t="n">
        <v>0.004</v>
      </c>
      <c r="C28" s="139" t="s">
        <v>900</v>
      </c>
    </row>
    <row r="29" customFormat="false" ht="15" hidden="false" customHeight="true" outlineLevel="0" collapsed="false">
      <c r="A29" s="142" t="s">
        <v>901</v>
      </c>
      <c r="B29" s="142"/>
      <c r="C29" s="142"/>
    </row>
    <row r="30" customFormat="false" ht="15" hidden="false" customHeight="true" outlineLevel="0" collapsed="false">
      <c r="A30" s="143" t="s">
        <v>902</v>
      </c>
      <c r="B30" s="171" t="n">
        <v>15.49</v>
      </c>
      <c r="C30" s="139" t="s">
        <v>903</v>
      </c>
    </row>
    <row r="31" customFormat="false" ht="15" hidden="false" customHeight="true" outlineLevel="0" collapsed="false">
      <c r="A31" s="143" t="s">
        <v>904</v>
      </c>
      <c r="B31" s="171" t="n">
        <v>1</v>
      </c>
      <c r="C31" s="139" t="s">
        <v>905</v>
      </c>
    </row>
    <row r="32" customFormat="false" ht="15" hidden="false" customHeight="true" outlineLevel="0" collapsed="false">
      <c r="A32" s="143" t="s">
        <v>906</v>
      </c>
      <c r="B32" s="171" t="n">
        <v>20</v>
      </c>
      <c r="C32" s="139" t="s">
        <v>907</v>
      </c>
    </row>
    <row r="33" customFormat="false" ht="15" hidden="false" customHeight="true" outlineLevel="0" collapsed="false">
      <c r="A33" s="143" t="s">
        <v>908</v>
      </c>
      <c r="B33" s="171" t="n">
        <v>1</v>
      </c>
      <c r="C33" s="139" t="s">
        <v>909</v>
      </c>
    </row>
    <row r="34" customFormat="false" ht="15" hidden="false" customHeight="true" outlineLevel="0" collapsed="false">
      <c r="A34" s="143" t="s">
        <v>910</v>
      </c>
      <c r="B34" s="171" t="n">
        <v>100</v>
      </c>
      <c r="C34" s="139" t="s">
        <v>911</v>
      </c>
    </row>
    <row r="35" customFormat="false" ht="15" hidden="false" customHeight="true" outlineLevel="0" collapsed="false">
      <c r="A35" s="143" t="s">
        <v>802</v>
      </c>
      <c r="B35" s="171" t="n">
        <v>135.14</v>
      </c>
      <c r="C35" s="139" t="s">
        <v>912</v>
      </c>
    </row>
    <row r="36" customFormat="false" ht="15" hidden="false" customHeight="true" outlineLevel="0" collapsed="false">
      <c r="A36" s="143" t="s">
        <v>913</v>
      </c>
      <c r="B36" s="172" t="n">
        <v>0.0381</v>
      </c>
      <c r="C36" s="139" t="s">
        <v>914</v>
      </c>
    </row>
    <row r="37" customFormat="false" ht="15" hidden="false" customHeight="true" outlineLevel="0" collapsed="false">
      <c r="A37" s="143" t="s">
        <v>915</v>
      </c>
      <c r="B37" s="173" t="n">
        <v>18.5</v>
      </c>
      <c r="C37" s="139" t="s">
        <v>916</v>
      </c>
    </row>
    <row r="38" customFormat="false" ht="15" hidden="false" customHeight="true" outlineLevel="0" collapsed="false">
      <c r="A38" s="142" t="s">
        <v>917</v>
      </c>
      <c r="B38" s="142"/>
      <c r="C38" s="142"/>
    </row>
    <row r="39" customFormat="false" ht="15" hidden="false" customHeight="true" outlineLevel="0" collapsed="false">
      <c r="A39" s="143" t="s">
        <v>918</v>
      </c>
      <c r="B39" s="175" t="n">
        <v>0</v>
      </c>
      <c r="C39" s="139" t="s">
        <v>919</v>
      </c>
    </row>
    <row r="40" customFormat="false" ht="15" hidden="false" customHeight="true" outlineLevel="0" collapsed="false">
      <c r="A40" s="143" t="s">
        <v>920</v>
      </c>
      <c r="B40" s="174" t="n">
        <v>20</v>
      </c>
      <c r="C40" s="139" t="s">
        <v>921</v>
      </c>
    </row>
  </sheetData>
  <mergeCells count="7">
    <mergeCell ref="A1:C1"/>
    <mergeCell ref="A4:C4"/>
    <mergeCell ref="A9:C9"/>
    <mergeCell ref="A15:C15"/>
    <mergeCell ref="A22:C22"/>
    <mergeCell ref="A29:C29"/>
    <mergeCell ref="A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6" activeCellId="0" sqref="F6"/>
    </sheetView>
  </sheetViews>
  <sheetFormatPr defaultColWidth="8.66796875" defaultRowHeight="14.25" customHeight="false"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7.11"/>
    <col collapsed="false" customWidth="true" hidden="false" outlineLevel="0" max="4" min="4" style="0" width="6.67"/>
    <col collapsed="false" customWidth="true" hidden="false" outlineLevel="0" max="5" min="5" style="0" width="7"/>
    <col collapsed="false" customWidth="true" hidden="false" outlineLevel="0" max="6" min="6" style="0" width="8"/>
    <col collapsed="false" customWidth="true" hidden="false" outlineLevel="0" max="7" min="7" style="0" width="9.11"/>
    <col collapsed="false" customWidth="true" hidden="false" outlineLevel="0" max="8" min="8" style="0" width="12.67"/>
    <col collapsed="false" customWidth="true" hidden="false" outlineLevel="0" max="9" min="9" style="0" width="10.56"/>
    <col collapsed="false" customWidth="true" hidden="false" outlineLevel="0" max="10" min="10" style="0" width="21.22"/>
    <col collapsed="false" customWidth="true" hidden="false" outlineLevel="0" max="11" min="11" style="0" width="14.88"/>
  </cols>
  <sheetData>
    <row r="1" customFormat="false" ht="15.75" hidden="false" customHeight="true" outlineLevel="0" collapsed="false">
      <c r="A1" s="176" t="s">
        <v>922</v>
      </c>
    </row>
    <row r="2" customFormat="false" ht="15" hidden="false" customHeight="true" outlineLevel="0" collapsed="false">
      <c r="A2" s="170" t="s">
        <v>923</v>
      </c>
    </row>
    <row r="4" customFormat="false" ht="15" hidden="false" customHeight="true" outlineLevel="0" collapsed="false">
      <c r="A4" s="177" t="s">
        <v>924</v>
      </c>
      <c r="B4" s="178"/>
      <c r="C4" s="178"/>
    </row>
    <row r="5" customFormat="false" ht="15" hidden="false" customHeight="true" outlineLevel="0" collapsed="false">
      <c r="A5" s="2" t="s">
        <v>925</v>
      </c>
      <c r="B5" s="179" t="n">
        <v>3</v>
      </c>
    </row>
    <row r="6" customFormat="false" ht="15" hidden="false" customHeight="true" outlineLevel="0" collapsed="false">
      <c r="A6" s="2" t="s">
        <v>926</v>
      </c>
      <c r="B6" s="179" t="n">
        <v>15</v>
      </c>
    </row>
    <row r="7" customFormat="false" ht="15" hidden="false" customHeight="true" outlineLevel="0" collapsed="false">
      <c r="A7" s="2" t="s">
        <v>927</v>
      </c>
      <c r="B7" s="179" t="n">
        <v>1</v>
      </c>
    </row>
    <row r="8" customFormat="false" ht="15" hidden="false" customHeight="true" outlineLevel="0" collapsed="false">
      <c r="A8" s="2" t="s">
        <v>928</v>
      </c>
      <c r="B8" s="179" t="n">
        <v>5</v>
      </c>
    </row>
    <row r="9" customFormat="false" ht="15" hidden="false" customHeight="true" outlineLevel="0" collapsed="false">
      <c r="A9" s="2" t="s">
        <v>929</v>
      </c>
      <c r="B9" s="179" t="n">
        <v>0.01</v>
      </c>
    </row>
    <row r="10" customFormat="false" ht="14.25" hidden="false" customHeight="false" outlineLevel="0" collapsed="false">
      <c r="A10" s="0" t="s">
        <v>930</v>
      </c>
      <c r="B10" s="180" t="n">
        <v>0.5</v>
      </c>
    </row>
    <row r="11" customFormat="false" ht="14.25" hidden="false" customHeight="false" outlineLevel="0" collapsed="false">
      <c r="A11" s="0" t="s">
        <v>931</v>
      </c>
      <c r="B11" s="180" t="n">
        <v>3</v>
      </c>
    </row>
    <row r="12" customFormat="false" ht="15" hidden="false" customHeight="true" outlineLevel="0" collapsed="false">
      <c r="A12" s="181" t="s">
        <v>932</v>
      </c>
      <c r="B12" s="181" t="s">
        <v>933</v>
      </c>
      <c r="C12" s="181" t="s">
        <v>934</v>
      </c>
      <c r="D12" s="181" t="s">
        <v>518</v>
      </c>
      <c r="E12" s="181" t="s">
        <v>935</v>
      </c>
      <c r="F12" s="181" t="s">
        <v>936</v>
      </c>
      <c r="G12" s="181" t="s">
        <v>937</v>
      </c>
      <c r="H12" s="181" t="s">
        <v>938</v>
      </c>
      <c r="I12" s="181" t="s">
        <v>939</v>
      </c>
      <c r="J12" s="182" t="s">
        <v>940</v>
      </c>
      <c r="K12" s="182" t="s">
        <v>941</v>
      </c>
    </row>
    <row r="13" customFormat="false" ht="15" hidden="false" customHeight="true" outlineLevel="0" collapsed="false">
      <c r="A13" s="183" t="s">
        <v>942</v>
      </c>
      <c r="B13" s="183" t="n">
        <v>1</v>
      </c>
      <c r="C13" s="184" t="n">
        <f aca="false">B13*Assumptions!$B$16</f>
        <v>2</v>
      </c>
      <c r="D13" s="183" t="s">
        <v>943</v>
      </c>
      <c r="E13" s="185" t="n">
        <v>0</v>
      </c>
      <c r="F13" s="185" t="n">
        <v>0</v>
      </c>
      <c r="G13" s="185" t="n">
        <v>0</v>
      </c>
      <c r="H13" s="184" t="n">
        <v>0</v>
      </c>
      <c r="I13" s="186" t="n">
        <f aca="false">IF(C13=0,0,H13/C13)</f>
        <v>0</v>
      </c>
      <c r="J13" s="0" t="n">
        <v>0</v>
      </c>
      <c r="K13" s="0" t="n">
        <f aca="false">IF(C13=0,0,J13/C13)</f>
        <v>0</v>
      </c>
    </row>
    <row r="14" customFormat="false" ht="15" hidden="false" customHeight="true" outlineLevel="0" collapsed="false">
      <c r="A14" s="187" t="s">
        <v>944</v>
      </c>
      <c r="B14" s="187" t="n">
        <v>1</v>
      </c>
      <c r="C14" s="188" t="n">
        <f aca="false">B14*Assumptions!$B$16</f>
        <v>2</v>
      </c>
      <c r="D14" s="187" t="s">
        <v>945</v>
      </c>
      <c r="E14" s="189" t="n">
        <v>8000</v>
      </c>
      <c r="F14" s="189" t="n">
        <v>1000</v>
      </c>
      <c r="G14" s="189" t="n">
        <v>0</v>
      </c>
      <c r="H14" s="188" t="n">
        <f aca="false">E14/1000000*$B$7+F14/1000000*$B$8+G14*$B$9</f>
        <v>0.013</v>
      </c>
      <c r="I14" s="190" t="n">
        <f aca="false">IF(C14=0,0,H14/C14)</f>
        <v>0.0065</v>
      </c>
      <c r="J14" s="191" t="n">
        <f aca="false">E14/1000000*$B$10+F14/1000000*$B$11+G14*$B$9</f>
        <v>0.007</v>
      </c>
      <c r="K14" s="109" t="n">
        <f aca="false">IF(C14=0,0,J14/C14)</f>
        <v>0.0035</v>
      </c>
    </row>
    <row r="15" customFormat="false" ht="15" hidden="false" customHeight="true" outlineLevel="0" collapsed="false">
      <c r="A15" s="183" t="s">
        <v>946</v>
      </c>
      <c r="B15" s="183" t="n">
        <v>2</v>
      </c>
      <c r="C15" s="184" t="n">
        <f aca="false">B15*Assumptions!$B$16</f>
        <v>4</v>
      </c>
      <c r="D15" s="183" t="s">
        <v>947</v>
      </c>
      <c r="E15" s="185" t="n">
        <v>40000</v>
      </c>
      <c r="F15" s="185" t="n">
        <v>3000</v>
      </c>
      <c r="G15" s="185" t="n">
        <v>2</v>
      </c>
      <c r="H15" s="184" t="n">
        <f aca="false">E15/1000000*$B$5+F15/1000000*$B$6+G15*$B$9</f>
        <v>0.185</v>
      </c>
      <c r="I15" s="186" t="n">
        <f aca="false">IF(C15=0,0,H15/C15)</f>
        <v>0.04625</v>
      </c>
      <c r="J15" s="191" t="n">
        <f aca="false">E15/1000000*$B$10+F15/1000000*$B$11+G15*$B$9</f>
        <v>0.049</v>
      </c>
      <c r="K15" s="109" t="n">
        <f aca="false">IF(C15=0,0,J15/C15)</f>
        <v>0.01225</v>
      </c>
    </row>
    <row r="16" customFormat="false" ht="15" hidden="false" customHeight="true" outlineLevel="0" collapsed="false">
      <c r="A16" s="187" t="s">
        <v>948</v>
      </c>
      <c r="B16" s="187" t="n">
        <v>3</v>
      </c>
      <c r="C16" s="188" t="n">
        <f aca="false">B16*Assumptions!$B$16</f>
        <v>6</v>
      </c>
      <c r="D16" s="187" t="s">
        <v>947</v>
      </c>
      <c r="E16" s="189" t="n">
        <v>80000</v>
      </c>
      <c r="F16" s="189" t="n">
        <v>5000</v>
      </c>
      <c r="G16" s="189" t="n">
        <v>3</v>
      </c>
      <c r="H16" s="188" t="n">
        <f aca="false">E16/1000000*$B$5+F16/1000000*$B$6+G16*$B$9</f>
        <v>0.345</v>
      </c>
      <c r="I16" s="190" t="n">
        <f aca="false">IF(C16=0,0,H16/C16)</f>
        <v>0.0575</v>
      </c>
      <c r="J16" s="191" t="n">
        <f aca="false">E16/1000000*$B$10+F16/1000000*$B$11+G16*$B$9</f>
        <v>0.085</v>
      </c>
      <c r="K16" s="109" t="n">
        <f aca="false">IF(C16=0,0,J16/C16)</f>
        <v>0.0141666666666667</v>
      </c>
    </row>
    <row r="17" customFormat="false" ht="15" hidden="false" customHeight="true" outlineLevel="0" collapsed="false">
      <c r="A17" s="183" t="s">
        <v>949</v>
      </c>
      <c r="B17" s="183" t="n">
        <v>3</v>
      </c>
      <c r="C17" s="184" t="n">
        <f aca="false">B17*Assumptions!$B$16</f>
        <v>6</v>
      </c>
      <c r="D17" s="183" t="s">
        <v>947</v>
      </c>
      <c r="E17" s="185" t="n">
        <v>100000</v>
      </c>
      <c r="F17" s="185" t="n">
        <v>4000</v>
      </c>
      <c r="G17" s="185" t="n">
        <v>5</v>
      </c>
      <c r="H17" s="184" t="n">
        <f aca="false">E17/1000000*$B$5+F17/1000000*$B$6+G17*$B$9</f>
        <v>0.41</v>
      </c>
      <c r="I17" s="186" t="n">
        <f aca="false">IF(C17=0,0,H17/C17)</f>
        <v>0.0683333333333333</v>
      </c>
      <c r="J17" s="191" t="n">
        <f aca="false">E17/1000000*$B$10+F17/1000000*$B$11+G17*$B$9</f>
        <v>0.112</v>
      </c>
      <c r="K17" s="109" t="n">
        <f aca="false">IF(C17=0,0,J17/C17)</f>
        <v>0.0186666666666667</v>
      </c>
    </row>
    <row r="18" customFormat="false" ht="15" hidden="false" customHeight="true" outlineLevel="0" collapsed="false">
      <c r="A18" s="187" t="s">
        <v>950</v>
      </c>
      <c r="B18" s="187" t="n">
        <v>5</v>
      </c>
      <c r="C18" s="188" t="n">
        <f aca="false">B18*Assumptions!$B$16</f>
        <v>10</v>
      </c>
      <c r="D18" s="187" t="s">
        <v>947</v>
      </c>
      <c r="E18" s="189" t="n">
        <v>90000</v>
      </c>
      <c r="F18" s="189" t="n">
        <v>4000</v>
      </c>
      <c r="G18" s="189" t="n">
        <v>6</v>
      </c>
      <c r="H18" s="188" t="n">
        <f aca="false">E18/1000000*$B$5+F18/1000000*$B$6+G18*$B$9</f>
        <v>0.39</v>
      </c>
      <c r="I18" s="190" t="n">
        <f aca="false">IF(C18=0,0,H18/C18)</f>
        <v>0.039</v>
      </c>
      <c r="J18" s="191" t="n">
        <f aca="false">E18/1000000*$B$10+F18/1000000*$B$11+G18*$B$9</f>
        <v>0.117</v>
      </c>
      <c r="K18" s="109" t="n">
        <f aca="false">IF(C18=0,0,J18/C18)</f>
        <v>0.0117</v>
      </c>
    </row>
    <row r="19" customFormat="false" ht="15" hidden="false" customHeight="true" outlineLevel="0" collapsed="false">
      <c r="A19" s="183" t="s">
        <v>951</v>
      </c>
      <c r="B19" s="183" t="n">
        <v>5</v>
      </c>
      <c r="C19" s="184" t="n">
        <f aca="false">B19*Assumptions!$B$16</f>
        <v>10</v>
      </c>
      <c r="D19" s="183" t="s">
        <v>947</v>
      </c>
      <c r="E19" s="185" t="n">
        <v>120000</v>
      </c>
      <c r="F19" s="185" t="n">
        <v>5000</v>
      </c>
      <c r="G19" s="185" t="n">
        <v>6</v>
      </c>
      <c r="H19" s="184" t="n">
        <f aca="false">E19/1000000*$B$5+F19/1000000*$B$6+G19*$B$9</f>
        <v>0.495</v>
      </c>
      <c r="I19" s="186" t="n">
        <f aca="false">IF(C19=0,0,H19/C19)</f>
        <v>0.0495</v>
      </c>
      <c r="J19" s="191" t="n">
        <f aca="false">E19/1000000*$B$10+F19/1000000*$B$11+G19*$B$9</f>
        <v>0.135</v>
      </c>
      <c r="K19" s="109" t="n">
        <f aca="false">IF(C19=0,0,J19/C19)</f>
        <v>0.0135</v>
      </c>
    </row>
    <row r="20" customFormat="false" ht="15" hidden="false" customHeight="true" outlineLevel="0" collapsed="false">
      <c r="A20" s="187" t="s">
        <v>952</v>
      </c>
      <c r="B20" s="187" t="n">
        <v>5</v>
      </c>
      <c r="C20" s="188" t="n">
        <f aca="false">B20*Assumptions!$B$16</f>
        <v>10</v>
      </c>
      <c r="D20" s="187" t="s">
        <v>947</v>
      </c>
      <c r="E20" s="189" t="n">
        <v>130000</v>
      </c>
      <c r="F20" s="189" t="n">
        <v>5000</v>
      </c>
      <c r="G20" s="189" t="n">
        <v>7</v>
      </c>
      <c r="H20" s="188" t="n">
        <f aca="false">E20/1000000*$B$5+F20/1000000*$B$6+G20*$B$9</f>
        <v>0.535</v>
      </c>
      <c r="I20" s="190" t="n">
        <f aca="false">IF(C20=0,0,H20/C20)</f>
        <v>0.0535</v>
      </c>
      <c r="J20" s="191" t="n">
        <f aca="false">E20/1000000*$B$10+F20/1000000*$B$11+G20*$B$9</f>
        <v>0.15</v>
      </c>
      <c r="K20" s="109" t="n">
        <f aca="false">IF(C20=0,0,J20/C20)</f>
        <v>0.015</v>
      </c>
    </row>
    <row r="21" customFormat="false" ht="15" hidden="false" customHeight="true" outlineLevel="0" collapsed="false">
      <c r="A21" s="183" t="s">
        <v>953</v>
      </c>
      <c r="B21" s="183" t="n">
        <v>5</v>
      </c>
      <c r="C21" s="184" t="n">
        <f aca="false">B21*Assumptions!$B$16</f>
        <v>10</v>
      </c>
      <c r="D21" s="183" t="s">
        <v>947</v>
      </c>
      <c r="E21" s="185" t="n">
        <v>170000</v>
      </c>
      <c r="F21" s="185" t="n">
        <v>5000</v>
      </c>
      <c r="G21" s="185" t="n">
        <v>8</v>
      </c>
      <c r="H21" s="184" t="n">
        <f aca="false">E21/1000000*$B$5+F21/1000000*$B$6+G21*$B$9</f>
        <v>0.665</v>
      </c>
      <c r="I21" s="186" t="n">
        <f aca="false">IF(C21=0,0,H21/C21)</f>
        <v>0.0665</v>
      </c>
      <c r="J21" s="191" t="n">
        <f aca="false">E21/1000000*$B$10+F21/1000000*$B$11+G21*$B$9</f>
        <v>0.18</v>
      </c>
      <c r="K21" s="109" t="n">
        <f aca="false">IF(C21=0,0,J21/C21)</f>
        <v>0.018</v>
      </c>
    </row>
    <row r="22" customFormat="false" ht="15" hidden="false" customHeight="true" outlineLevel="0" collapsed="false">
      <c r="A22" s="187" t="s">
        <v>954</v>
      </c>
      <c r="B22" s="187" t="n">
        <v>8</v>
      </c>
      <c r="C22" s="188" t="n">
        <f aca="false">B22*Assumptions!$B$16</f>
        <v>16</v>
      </c>
      <c r="D22" s="187" t="s">
        <v>947</v>
      </c>
      <c r="E22" s="189" t="n">
        <v>150000</v>
      </c>
      <c r="F22" s="189" t="n">
        <v>6000</v>
      </c>
      <c r="G22" s="189" t="n">
        <v>8</v>
      </c>
      <c r="H22" s="188" t="n">
        <f aca="false">E22/1000000*$B$5+F22/1000000*$B$6+G22*$B$9</f>
        <v>0.62</v>
      </c>
      <c r="I22" s="190" t="n">
        <f aca="false">IF(C22=0,0,H22/C22)</f>
        <v>0.03875</v>
      </c>
      <c r="J22" s="191" t="n">
        <f aca="false">E22/1000000*$B$10+F22/1000000*$B$11+G22*$B$9</f>
        <v>0.173</v>
      </c>
      <c r="K22" s="109" t="n">
        <f aca="false">IF(C22=0,0,J22/C22)</f>
        <v>0.0108125</v>
      </c>
    </row>
    <row r="23" customFormat="false" ht="15" hidden="false" customHeight="true" outlineLevel="0" collapsed="false">
      <c r="A23" s="183" t="s">
        <v>955</v>
      </c>
      <c r="B23" s="183" t="n">
        <v>10</v>
      </c>
      <c r="C23" s="184" t="n">
        <f aca="false">B23*Assumptions!$B$16</f>
        <v>20</v>
      </c>
      <c r="D23" s="183" t="s">
        <v>947</v>
      </c>
      <c r="E23" s="185" t="n">
        <v>200000</v>
      </c>
      <c r="F23" s="185" t="n">
        <v>8000</v>
      </c>
      <c r="G23" s="185" t="n">
        <v>10</v>
      </c>
      <c r="H23" s="184" t="n">
        <f aca="false">E23/1000000*$B$5+F23/1000000*$B$6+G23*$B$9</f>
        <v>0.82</v>
      </c>
      <c r="I23" s="186" t="n">
        <f aca="false">IF(C23=0,0,H23/C23)</f>
        <v>0.041</v>
      </c>
      <c r="J23" s="191" t="n">
        <f aca="false">E23/1000000*$B$10+F23/1000000*$B$11+G23*$B$9</f>
        <v>0.224</v>
      </c>
      <c r="K23" s="109" t="n">
        <f aca="false">IF(C23=0,0,J23/C23)</f>
        <v>0.0112</v>
      </c>
    </row>
    <row r="25" customFormat="false" ht="15" hidden="false" customHeight="true" outlineLevel="0" collapsed="false">
      <c r="A25" s="104" t="s">
        <v>956</v>
      </c>
      <c r="I25" s="192" t="n">
        <f aca="false">MAX(I13:I23)</f>
        <v>0.0683333333333333</v>
      </c>
      <c r="J25" s="109" t="n">
        <f aca="false">MAX(K13:K23)</f>
        <v>0.0186666666666667</v>
      </c>
    </row>
    <row r="26" customFormat="false" ht="15" hidden="false" customHeight="true" outlineLevel="0" collapsed="false">
      <c r="A26" s="170" t="s">
        <v>957</v>
      </c>
      <c r="I26" s="193" t="n">
        <v>0.1</v>
      </c>
    </row>
    <row r="27" customFormat="false" ht="15" hidden="false" customHeight="true" outlineLevel="0" collapsed="false">
      <c r="A27" s="170" t="s">
        <v>958</v>
      </c>
    </row>
    <row r="28" customFormat="false" ht="14.25" hidden="false" customHeight="true" outlineLevel="0" collapsed="false">
      <c r="A28" s="164" t="s">
        <v>959</v>
      </c>
      <c r="B28" s="164"/>
      <c r="C28" s="164"/>
      <c r="D28" s="164"/>
      <c r="E28" s="164"/>
      <c r="F28" s="164"/>
      <c r="G28" s="164"/>
      <c r="H28" s="164"/>
      <c r="I28" s="164"/>
    </row>
    <row r="29" customFormat="false" ht="14.25" hidden="false" customHeight="false" outlineLevel="0" collapsed="false">
      <c r="A29" s="164"/>
      <c r="B29" s="164"/>
      <c r="C29" s="164"/>
      <c r="D29" s="164"/>
      <c r="E29" s="164"/>
      <c r="F29" s="164"/>
      <c r="G29" s="164"/>
      <c r="H29" s="164"/>
      <c r="I29" s="164"/>
    </row>
  </sheetData>
  <mergeCells count="1">
    <mergeCell ref="A28: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0" width="46"/>
    <col collapsed="false" customWidth="true" hidden="false" outlineLevel="0" max="4" min="2" style="0" width="13"/>
    <col collapsed="false" customWidth="true" hidden="false" outlineLevel="0" max="5" min="5" style="0" width="52"/>
    <col collapsed="false" customWidth="true" hidden="false" outlineLevel="0" max="7" min="6" style="0" width="10"/>
  </cols>
  <sheetData>
    <row r="1" customFormat="false" ht="15" hidden="false" customHeight="true" outlineLevel="0" collapsed="false">
      <c r="A1" s="132" t="s">
        <v>960</v>
      </c>
    </row>
    <row r="2" customFormat="false" ht="15" hidden="false" customHeight="true" outlineLevel="0" collapsed="false">
      <c r="A2" s="164" t="s">
        <v>961</v>
      </c>
      <c r="B2" s="164"/>
      <c r="C2" s="164"/>
      <c r="D2" s="164"/>
      <c r="E2" s="164"/>
      <c r="F2" s="164"/>
    </row>
    <row r="3" customFormat="false" ht="15" hidden="false" customHeight="true" outlineLevel="0" collapsed="false">
      <c r="A3" s="164"/>
      <c r="B3" s="164"/>
      <c r="C3" s="164"/>
      <c r="D3" s="164"/>
      <c r="E3" s="164"/>
      <c r="F3" s="164"/>
    </row>
    <row r="5" customFormat="false" ht="15" hidden="false" customHeight="true" outlineLevel="0" collapsed="false">
      <c r="A5" s="136" t="s">
        <v>962</v>
      </c>
    </row>
    <row r="6" customFormat="false" ht="15" hidden="false" customHeight="true" outlineLevel="0" collapsed="false">
      <c r="A6" s="0" t="s">
        <v>963</v>
      </c>
      <c r="B6" s="194" t="n">
        <v>1.5</v>
      </c>
      <c r="C6" s="0" t="s">
        <v>964</v>
      </c>
      <c r="D6" s="0" t="s">
        <v>965</v>
      </c>
      <c r="E6" s="194" t="n">
        <v>349</v>
      </c>
      <c r="F6" s="194" t="n">
        <v>1136</v>
      </c>
      <c r="G6" s="194" t="n">
        <v>7797</v>
      </c>
    </row>
    <row r="7" customFormat="false" ht="15" hidden="false" customHeight="true" outlineLevel="0" collapsed="false">
      <c r="A7" s="0" t="s">
        <v>966</v>
      </c>
      <c r="B7" s="194" t="n">
        <v>16.8</v>
      </c>
      <c r="C7" s="0" t="s">
        <v>967</v>
      </c>
    </row>
    <row r="8" customFormat="false" ht="15" hidden="false" customHeight="true" outlineLevel="0" collapsed="false">
      <c r="A8" s="0" t="s">
        <v>968</v>
      </c>
      <c r="B8" s="194" t="n">
        <v>0.01389</v>
      </c>
      <c r="C8" s="0" t="s">
        <v>969</v>
      </c>
    </row>
    <row r="9" customFormat="false" ht="15" hidden="false" customHeight="true" outlineLevel="0" collapsed="false">
      <c r="A9" s="0" t="s">
        <v>970</v>
      </c>
      <c r="B9" s="194" t="n">
        <v>0.001414</v>
      </c>
      <c r="C9" s="0" t="s">
        <v>971</v>
      </c>
    </row>
    <row r="10" customFormat="false" ht="15" hidden="false" customHeight="true" outlineLevel="0" collapsed="false">
      <c r="A10" s="0" t="s">
        <v>972</v>
      </c>
      <c r="B10" s="194" t="n">
        <v>7790</v>
      </c>
      <c r="C10" s="0" t="s">
        <v>973</v>
      </c>
    </row>
    <row r="11" customFormat="false" ht="15" hidden="false" customHeight="true" outlineLevel="0" collapsed="false">
      <c r="A11" s="0" t="s">
        <v>974</v>
      </c>
      <c r="B11" s="194" t="n">
        <v>4368</v>
      </c>
      <c r="C11" s="0" t="s">
        <v>975</v>
      </c>
    </row>
    <row r="12" customFormat="false" ht="15" hidden="false" customHeight="true" outlineLevel="0" collapsed="false">
      <c r="A12" s="0" t="s">
        <v>976</v>
      </c>
      <c r="B12" s="194" t="n">
        <v>16872</v>
      </c>
      <c r="C12" s="0" t="s">
        <v>975</v>
      </c>
    </row>
    <row r="13" customFormat="false" ht="15" hidden="false" customHeight="true" outlineLevel="0" collapsed="false">
      <c r="A13" s="0" t="s">
        <v>977</v>
      </c>
      <c r="C13" s="0" t="s">
        <v>978</v>
      </c>
    </row>
    <row r="16" customFormat="false" ht="15" hidden="false" customHeight="true" outlineLevel="0" collapsed="false">
      <c r="A16" s="136" t="s">
        <v>979</v>
      </c>
    </row>
    <row r="17" customFormat="false" ht="15" hidden="false" customHeight="true" outlineLevel="0" collapsed="false">
      <c r="A17" s="134" t="s">
        <v>619</v>
      </c>
      <c r="B17" s="134" t="s">
        <v>82</v>
      </c>
      <c r="C17" s="134" t="s">
        <v>83</v>
      </c>
      <c r="D17" s="134" t="s">
        <v>84</v>
      </c>
      <c r="E17" s="134" t="s">
        <v>86</v>
      </c>
    </row>
    <row r="18" customFormat="false" ht="15" hidden="false" customHeight="true" outlineLevel="0" collapsed="false">
      <c r="A18" s="135" t="s">
        <v>980</v>
      </c>
      <c r="B18" s="195" t="n">
        <f aca="false">$B$10*$B$6*$B$7</f>
        <v>196308</v>
      </c>
      <c r="C18" s="195" t="n">
        <f aca="false">$B$11*$B$6*$B$7</f>
        <v>110073.6</v>
      </c>
      <c r="D18" s="195" t="n">
        <f aca="false">$B$12*$B$6*$B$7</f>
        <v>425174.4</v>
      </c>
      <c r="E18" s="135" t="s">
        <v>981</v>
      </c>
    </row>
    <row r="19" customFormat="false" ht="23.25" hidden="false" customHeight="true" outlineLevel="0" collapsed="false">
      <c r="A19" s="135" t="s">
        <v>982</v>
      </c>
      <c r="B19" s="196" t="n">
        <f aca="false">$E$6</f>
        <v>349</v>
      </c>
      <c r="C19" s="196" t="n">
        <f aca="false">$F$6</f>
        <v>1136</v>
      </c>
      <c r="D19" s="196" t="n">
        <f aca="false">$G$6</f>
        <v>7797</v>
      </c>
      <c r="E19" s="135" t="s">
        <v>983</v>
      </c>
    </row>
    <row r="20" customFormat="false" ht="15" hidden="false" customHeight="true" outlineLevel="0" collapsed="false">
      <c r="A20" s="135" t="s">
        <v>984</v>
      </c>
      <c r="B20" s="196" t="n">
        <f aca="false">$E$6+B18*$B$8</f>
        <v>3075.71812</v>
      </c>
      <c r="C20" s="196" t="n">
        <f aca="false">$F$6+C18*$B$8</f>
        <v>2664.922304</v>
      </c>
      <c r="D20" s="196" t="n">
        <f aca="false">$G$6+D18*$B$8</f>
        <v>13702.672416</v>
      </c>
      <c r="E20" s="135" t="s">
        <v>985</v>
      </c>
    </row>
    <row r="21" customFormat="false" ht="23.25" hidden="false" customHeight="true" outlineLevel="0" collapsed="false">
      <c r="A21" s="135" t="s">
        <v>986</v>
      </c>
      <c r="B21" s="196" t="n">
        <f aca="false">$E$6+B18*$B$9</f>
        <v>626.579512</v>
      </c>
      <c r="C21" s="196" t="n">
        <f aca="false">$F$6+C18*$B$9</f>
        <v>1291.6440704</v>
      </c>
      <c r="D21" s="196" t="n">
        <f aca="false">$G$6+D18*$B$9</f>
        <v>8398.1966016</v>
      </c>
      <c r="E21" s="135" t="s">
        <v>987</v>
      </c>
    </row>
    <row r="22" customFormat="false" ht="15" hidden="false" customHeight="true" outlineLevel="0" collapsed="false">
      <c r="A22" s="135" t="s">
        <v>988</v>
      </c>
      <c r="B22" s="196" t="n">
        <f aca="false">B20-B21</f>
        <v>2449.138608</v>
      </c>
      <c r="C22" s="196" t="n">
        <f aca="false">C20-C21</f>
        <v>1373.2782336</v>
      </c>
      <c r="D22" s="196" t="n">
        <f aca="false">D20-D21</f>
        <v>5304.4758144</v>
      </c>
      <c r="E22" s="135"/>
    </row>
    <row r="23" customFormat="false" ht="15" hidden="false" customHeight="true" outlineLevel="0" collapsed="false">
      <c r="A23" s="135" t="s">
        <v>989</v>
      </c>
      <c r="B23" s="196" t="n">
        <f aca="false">B20-B19</f>
        <v>2726.71812</v>
      </c>
      <c r="C23" s="196" t="n">
        <f aca="false">C20-C19</f>
        <v>1528.922304</v>
      </c>
      <c r="D23" s="196" t="n">
        <f aca="false">D20-D19</f>
        <v>5905.672416</v>
      </c>
      <c r="E23" s="135" t="s">
        <v>990</v>
      </c>
    </row>
    <row r="24" customFormat="false" ht="15" hidden="false" customHeight="true" outlineLevel="0" collapsed="false">
      <c r="A24" s="135" t="s">
        <v>991</v>
      </c>
      <c r="B24" s="196" t="n">
        <f aca="false">B21-B19</f>
        <v>277.579512</v>
      </c>
      <c r="C24" s="196" t="n">
        <f aca="false">C21-C19</f>
        <v>155.6440704</v>
      </c>
      <c r="D24" s="196" t="n">
        <f aca="false">D21-D19</f>
        <v>601.196601600001</v>
      </c>
      <c r="E24" s="135" t="s">
        <v>992</v>
      </c>
    </row>
    <row r="26" customFormat="false" ht="15" hidden="false" customHeight="true" outlineLevel="0" collapsed="false">
      <c r="A26" s="136" t="s">
        <v>993</v>
      </c>
    </row>
    <row r="27" customFormat="false" ht="15" hidden="false" customHeight="true" outlineLevel="0" collapsed="false">
      <c r="A27" s="0" t="s">
        <v>994</v>
      </c>
      <c r="B27" s="197" t="n">
        <f aca="false">(235154-8524-B19)/235154</f>
        <v>0.962267280165339</v>
      </c>
    </row>
    <row r="28" customFormat="false" ht="15" hidden="false" customHeight="true" outlineLevel="0" collapsed="false">
      <c r="A28" s="0" t="s">
        <v>995</v>
      </c>
      <c r="B28" s="197" t="n">
        <f aca="false">(235154-8524-B20)/235154</f>
        <v>0.950671823060633</v>
      </c>
    </row>
    <row r="29" customFormat="false" ht="15" hidden="false" customHeight="true" outlineLevel="0" collapsed="false">
      <c r="A29" s="0" t="s">
        <v>996</v>
      </c>
      <c r="B29" s="197" t="n">
        <f aca="false">(235154-8524-B21)/235154</f>
        <v>0.961086864301692</v>
      </c>
    </row>
    <row r="31" customFormat="false" ht="15" hidden="false" customHeight="true" outlineLevel="0" collapsed="false">
      <c r="A31" s="137" t="s">
        <v>997</v>
      </c>
    </row>
    <row r="32" customFormat="false" ht="14.25" hidden="false" customHeight="false" outlineLevel="0" collapsed="false">
      <c r="A32" s="136" t="s">
        <v>998</v>
      </c>
    </row>
    <row r="33" customFormat="false" ht="14.25" hidden="false" customHeight="false" outlineLevel="0" collapsed="false">
      <c r="A33" s="0" t="s">
        <v>999</v>
      </c>
      <c r="B33" s="194" t="n">
        <v>0.029</v>
      </c>
      <c r="C33" s="0" t="s">
        <v>1000</v>
      </c>
    </row>
    <row r="34" customFormat="false" ht="14.25" hidden="false" customHeight="false" outlineLevel="0" collapsed="false">
      <c r="A34" s="0" t="s">
        <v>1001</v>
      </c>
      <c r="B34" s="194" t="n">
        <v>1</v>
      </c>
      <c r="C34" s="0" t="s">
        <v>1002</v>
      </c>
    </row>
    <row r="35" customFormat="false" ht="14.25" hidden="false" customHeight="false" outlineLevel="0" collapsed="false">
      <c r="A35" s="0" t="s">
        <v>174</v>
      </c>
      <c r="B35" s="194" t="n">
        <v>18</v>
      </c>
      <c r="C35" s="0" t="s">
        <v>1003</v>
      </c>
    </row>
    <row r="36" customFormat="false" ht="14.25" hidden="false" customHeight="false" outlineLevel="0" collapsed="false">
      <c r="A36" s="0" t="s">
        <v>1004</v>
      </c>
      <c r="B36" s="194" t="n">
        <v>110</v>
      </c>
      <c r="C36" s="0" t="s">
        <v>1005</v>
      </c>
    </row>
    <row r="37" customFormat="false" ht="14.25" hidden="false" customHeight="false" outlineLevel="0" collapsed="false">
      <c r="A37" s="0" t="s">
        <v>1006</v>
      </c>
      <c r="B37" s="197" t="n">
        <f aca="false">B33+B34/B36</f>
        <v>0.0380909090909091</v>
      </c>
    </row>
    <row r="39" customFormat="false" ht="14.25" hidden="false" customHeight="false" outlineLevel="0" collapsed="false">
      <c r="A39" s="137" t="s">
        <v>1007</v>
      </c>
    </row>
    <row r="40" customFormat="false" ht="14.25" hidden="false" customHeight="false" outlineLevel="0" collapsed="false">
      <c r="A40" s="0" t="s">
        <v>1008</v>
      </c>
      <c r="B40" s="197" t="n">
        <f aca="false">$B$33+$B$34/36</f>
        <v>0.0567777777777778</v>
      </c>
    </row>
    <row r="41" customFormat="false" ht="14.25" hidden="false" customHeight="false" outlineLevel="0" collapsed="false">
      <c r="A41" s="0" t="s">
        <v>1009</v>
      </c>
      <c r="B41" s="197" t="n">
        <f aca="false">$B$33+$B$34/72</f>
        <v>0.0428888888888889</v>
      </c>
    </row>
    <row r="42" customFormat="false" ht="14.25" hidden="false" customHeight="false" outlineLevel="0" collapsed="false">
      <c r="A42" s="0" t="s">
        <v>1010</v>
      </c>
      <c r="B42" s="197" t="n">
        <f aca="false">$B$33+$B$34/180</f>
        <v>0.0345555555555556</v>
      </c>
    </row>
    <row r="43" customFormat="false" ht="14.25" hidden="false" customHeight="false" outlineLevel="0" collapsed="false">
      <c r="A43" s="0" t="s">
        <v>1011</v>
      </c>
      <c r="B43" s="197" t="n">
        <f aca="false">$B$33+$B$34/90</f>
        <v>0.0401111111111111</v>
      </c>
    </row>
    <row r="44" customFormat="false" ht="14.25" hidden="false" customHeight="false" outlineLevel="0" collapsed="false">
      <c r="A44" s="0" t="s">
        <v>1012</v>
      </c>
      <c r="B44" s="197" t="n">
        <f aca="false">$B$33+$B$34/360</f>
        <v>0.0317777777777778</v>
      </c>
    </row>
    <row r="46" customFormat="false" ht="14.25" hidden="false" customHeight="false" outlineLevel="0" collapsed="false">
      <c r="A46" s="182" t="s">
        <v>1013</v>
      </c>
      <c r="B46" s="182" t="s">
        <v>82</v>
      </c>
      <c r="C46" s="182" t="s">
        <v>83</v>
      </c>
      <c r="D46" s="182" t="s">
        <v>84</v>
      </c>
      <c r="E46" s="182" t="s">
        <v>86</v>
      </c>
    </row>
    <row r="47" customFormat="false" ht="14.25" hidden="false" customHeight="false" outlineLevel="0" collapsed="false">
      <c r="A47" s="0" t="s">
        <v>1014</v>
      </c>
      <c r="B47" s="198" t="n">
        <f aca="false">235154*0.025</f>
        <v>5878.85</v>
      </c>
      <c r="C47" s="198" t="n">
        <f aca="false">691173*0.025</f>
        <v>17279.325</v>
      </c>
      <c r="D47" s="198" t="n">
        <f aca="false">3995294*0.025</f>
        <v>99882.35</v>
      </c>
      <c r="E47" s="0" t="s">
        <v>1015</v>
      </c>
    </row>
    <row r="48" customFormat="false" ht="14.25" hidden="false" customHeight="false" outlineLevel="0" collapsed="false">
      <c r="A48" s="0" t="s">
        <v>1016</v>
      </c>
      <c r="B48" s="198" t="n">
        <f aca="false">235154*$B$37</f>
        <v>8957.22963636364</v>
      </c>
      <c r="C48" s="198" t="n">
        <f aca="false">691173*$B$37</f>
        <v>26327.4079090909</v>
      </c>
      <c r="D48" s="198" t="n">
        <f aca="false">3995294*$B$37</f>
        <v>152184.380545455</v>
      </c>
      <c r="E48" s="0" t="s">
        <v>1017</v>
      </c>
    </row>
    <row r="49" customFormat="false" ht="14.25" hidden="false" customHeight="false" outlineLevel="0" collapsed="false">
      <c r="A49" s="0" t="s">
        <v>1018</v>
      </c>
      <c r="B49" s="198" t="n">
        <f aca="false">B48-B47</f>
        <v>3078.37963636364</v>
      </c>
      <c r="C49" s="198" t="n">
        <f aca="false">C48-C47</f>
        <v>9048.08290909091</v>
      </c>
      <c r="D49" s="198" t="n">
        <f aca="false">D48-D47</f>
        <v>52302.0305454545</v>
      </c>
    </row>
    <row r="51" customFormat="false" ht="14.25" hidden="false" customHeight="false" outlineLevel="0" collapsed="false">
      <c r="A51" s="136" t="s">
        <v>1019</v>
      </c>
    </row>
    <row r="52" customFormat="false" ht="14.25" hidden="false" customHeight="false" outlineLevel="0" collapsed="false">
      <c r="A52" s="0" t="s">
        <v>1020</v>
      </c>
      <c r="B52" s="197" t="n">
        <f aca="false">(235154-(8873-349-5879)-B21-B48)/235154</f>
        <v>0.94799659309064</v>
      </c>
      <c r="C52" s="0" t="s">
        <v>1021</v>
      </c>
    </row>
  </sheetData>
  <mergeCells count="1">
    <mergeCell ref="A2: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2026-05-28T17:50:36Z</dcterms:created>
  <dc:creator>openpyxl</dc:creator>
  <dc:description/>
  <dc:language>en-US</dc:language>
  <cp:lastModifiedBy>David Conradie</cp:lastModifiedBy>
  <dcterms:modified xsi:type="dcterms:W3CDTF">2026-08-18T05:08:57Z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