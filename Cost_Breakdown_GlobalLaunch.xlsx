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Wave Growth" sheetId="2" state="visible" r:id="rId2"/>
    <sheet xmlns:r="http://schemas.openxmlformats.org/officeDocument/2006/relationships" name="Operating Costs" sheetId="3" state="visible" r:id="rId3"/>
    <sheet xmlns:r="http://schemas.openxmlformats.org/officeDocument/2006/relationships" name="Revenue vs Cost" sheetId="4" state="visible" r:id="rId4"/>
    <sheet xmlns:r="http://schemas.openxmlformats.org/officeDocument/2006/relationships" name="Dashboard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"/>
    <numFmt numFmtId="166" formatCode="\$#,##0.00"/>
  </numFmts>
  <fonts count="11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666666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color rgb="FF000000"/>
      <sz val="10"/>
    </font>
    <font>
      <name val="Arial"/>
      <charset val="1"/>
      <b val="1"/>
      <sz val="10"/>
    </font>
    <font>
      <name val="Arial"/>
      <charset val="1"/>
      <b val="1"/>
      <sz val="12"/>
    </font>
    <font>
      <name val="Calibri"/>
      <b val="1"/>
      <sz val="11"/>
    </font>
    <font>
      <name val="Arial"/>
      <color rgb="FF0000FF"/>
      <sz val="10"/>
    </font>
    <font>
      <name val="Arial Unicode MS"/>
      <color theme="1"/>
      <sz val="10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164" fontId="4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1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7"/>
  <sheetViews>
    <sheetView topLeftCell="A46" zoomScaleNormal="100" workbookViewId="0">
      <selection activeCell="B75" sqref="B75"/>
    </sheetView>
  </sheetViews>
  <sheetFormatPr baseColWidth="8" defaultColWidth="8.6640625" defaultRowHeight="14.4"/>
  <cols>
    <col width="50" customWidth="1" min="1" max="1"/>
    <col width="16" customWidth="1" min="2" max="2"/>
    <col width="52" customWidth="1" min="3" max="3"/>
  </cols>
  <sheetData>
    <row r="1" ht="17.4" customHeight="1">
      <c r="A1" s="1" t="inlineStr">
        <is>
          <t>MarketSquare — Global Launch Cost Model</t>
        </is>
      </c>
    </row>
    <row r="2">
      <c r="A2" s="2" t="inlineStr">
        <is>
          <t>Day-1 simultaneous 4-city launch · Wave cascade · n8n auto-onboard</t>
        </is>
      </c>
    </row>
    <row r="3"/>
    <row r="4">
      <c r="A4" s="3" t="inlineStr">
        <is>
          <t>GLOBAL LAUNCH STRATEGY</t>
        </is>
      </c>
    </row>
    <row r="5">
      <c r="A5" t="inlineStr">
        <is>
          <t>Day 1 launch cities (simultaneous)</t>
        </is>
      </c>
      <c r="B5" s="4" t="n">
        <v>4</v>
      </c>
      <c r="C5" s="2" t="inlineStr">
        <is>
          <t>Pretoria + New York + London + Berlin — all go live Day 1</t>
        </is>
      </c>
    </row>
    <row r="6">
      <c r="A6" t="inlineStr">
        <is>
          <t>Sellers per city at Day 1 (pre-scraped by n8n)</t>
        </is>
      </c>
      <c r="B6" s="4" t="n">
        <v>60</v>
      </c>
      <c r="C6" s="2" t="inlineStr">
        <is>
          <t>n8n has already emailed + onboarded 60+ per city BEFORE launch</t>
        </is>
      </c>
    </row>
    <row r="7">
      <c r="A7" t="inlineStr">
        <is>
          <t>Avg listings per seller (suburb multiplier)</t>
        </is>
      </c>
      <c r="B7" s="4" t="n">
        <v>1.5</v>
      </c>
      <c r="C7" s="2" t="inlineStr">
        <is>
          <t>Some sellers list in multiple suburbs → ~90 listings per city</t>
        </is>
      </c>
    </row>
    <row r="8">
      <c r="A8" t="inlineStr">
        <is>
          <t>Public launch trigger (sellers per city)</t>
        </is>
      </c>
      <c r="B8" s="5" t="n">
        <v>60</v>
      </c>
      <c r="C8" s="2" t="inlineStr">
        <is>
          <t>City Replication Readiness KPI — auto-triggers public visibility</t>
        </is>
      </c>
    </row>
    <row r="9">
      <c r="A9" t="inlineStr">
        <is>
          <t>Days from Day 1 to public launch (4 initial cities)</t>
        </is>
      </c>
      <c r="B9" s="4" t="n">
        <v>5</v>
      </c>
      <c r="C9" s="2" t="inlineStr">
        <is>
          <t>Day 4-7 — onboarders confirm, KPI fires, city goes public</t>
        </is>
      </c>
    </row>
    <row r="10"/>
    <row r="11">
      <c r="A11" s="3" t="inlineStr">
        <is>
          <t>WAVE CASCADE MODEL</t>
        </is>
      </c>
    </row>
    <row r="12">
      <c r="A12" t="inlineStr">
        <is>
          <t>Wave 1 cities (Day 1)</t>
        </is>
      </c>
      <c r="B12" s="4" t="n">
        <v>4</v>
      </c>
      <c r="C12" s="2" t="inlineStr">
        <is>
          <t>Pretoria · New York · London · Berlin — simultaneous</t>
        </is>
      </c>
    </row>
    <row r="13">
      <c r="A13" t="inlineStr">
        <is>
          <t>Wave 2 cities (Days 5-10)</t>
        </is>
      </c>
      <c r="B13" s="5" t="n">
        <v>8</v>
      </c>
      <c r="C13" s="2" t="inlineStr">
        <is>
          <t>Cities where n8n already has 60+ onboarders queued from pre-launch scrape</t>
        </is>
      </c>
    </row>
    <row r="14">
      <c r="A14" t="inlineStr">
        <is>
          <t>Wave 3 cities (Days 14-21)</t>
        </is>
      </c>
      <c r="B14" s="5" t="n">
        <v>12</v>
      </c>
      <c r="C14" s="2" t="inlineStr">
        <is>
          <t>Next batch — n8n scrapes continue in parallel during Wave 1-2</t>
        </is>
      </c>
    </row>
    <row r="15">
      <c r="A15" t="inlineStr">
        <is>
          <t>Wave 4 cities (Month 2)</t>
        </is>
      </c>
      <c r="B15" s="5" t="n">
        <v>16</v>
      </c>
      <c r="C15" s="2" t="inlineStr">
        <is>
          <t>Cascade accelerates — n8n pipeline now proven and running autonomously</t>
        </is>
      </c>
    </row>
    <row r="16">
      <c r="A16" t="inlineStr">
        <is>
          <t>Total cities live by end of Month 1</t>
        </is>
      </c>
      <c r="B16" s="6">
        <f>B12+B13</f>
        <v/>
      </c>
      <c r="C16" s="2" t="inlineStr">
        <is>
          <t>Wave 1 + Wave 2 (if onboarders hit threshold fast enough)</t>
        </is>
      </c>
    </row>
    <row r="17">
      <c r="A17" t="inlineStr">
        <is>
          <t>Total cities live by end of Month 2</t>
        </is>
      </c>
      <c r="B17" s="6">
        <f>B16+B14</f>
        <v/>
      </c>
    </row>
    <row r="18">
      <c r="A18" t="inlineStr">
        <is>
          <t>Total cities live by end of Month 3</t>
        </is>
      </c>
      <c r="B18" s="6">
        <f>B17+B15</f>
        <v/>
      </c>
    </row>
    <row r="19">
      <c r="A19" t="inlineStr">
        <is>
          <t>New cities per month (Month 4+ steady state)</t>
        </is>
      </c>
      <c r="B19" s="4" t="n">
        <v>8</v>
      </c>
      <c r="C19" s="2" t="inlineStr">
        <is>
          <t>~8 new cities/month once pipeline is proven — KPI-gated</t>
        </is>
      </c>
    </row>
    <row r="20"/>
    <row r="21">
      <c r="A21" s="3" t="inlineStr">
        <is>
          <t>SELLER GROWTH (PER CITY, POST-LAUNCH)</t>
        </is>
      </c>
    </row>
    <row r="22">
      <c r="A22" t="inlineStr">
        <is>
          <t>Monthly organic seller growth rate</t>
        </is>
      </c>
      <c r="B22" s="7" t="n">
        <v>0.1</v>
      </c>
      <c r="C22" s="2" t="inlineStr">
        <is>
          <t>n8n continues scraping + word-of-mouth after launch</t>
        </is>
      </c>
    </row>
    <row r="23">
      <c r="A23" t="inlineStr">
        <is>
          <t>Monthly seller churn rate</t>
        </is>
      </c>
      <c r="B23" s="7" t="n">
        <v>0.03</v>
      </c>
      <c r="C23" s="2" t="inlineStr">
        <is>
          <t>Low — no commission, low friction, free tier available</t>
        </is>
      </c>
    </row>
    <row r="24"/>
    <row r="25">
      <c r="A25" s="3" t="inlineStr">
        <is>
          <t>BUYER GROWTH</t>
        </is>
      </c>
    </row>
    <row r="26">
      <c r="A26" t="inlineStr">
        <is>
          <t>Buyers per seller ratio (organic)</t>
        </is>
      </c>
      <c r="B26" s="4" t="n">
        <v>5</v>
      </c>
      <c r="C26" s="2" t="inlineStr">
        <is>
          <t>Each seller drives ~5 buyers via shares/word-of-mouth</t>
        </is>
      </c>
    </row>
    <row r="27">
      <c r="A27" t="inlineStr">
        <is>
          <t>Monthly buyer growth rate</t>
        </is>
      </c>
      <c r="B27" s="7" t="n">
        <v>0.1</v>
      </c>
    </row>
    <row r="28">
      <c r="A28" t="inlineStr">
        <is>
          <t>Monthly buyer churn rate</t>
        </is>
      </c>
      <c r="B28" s="7" t="n">
        <v>0.1</v>
      </c>
    </row>
    <row r="29"/>
    <row r="30">
      <c r="A30" s="3" t="inlineStr">
        <is>
          <t>PRICING &amp; REVENUE</t>
        </is>
      </c>
    </row>
    <row r="31">
      <c r="A31" t="inlineStr">
        <is>
          <t>Tuppence value (USD)</t>
        </is>
      </c>
      <c r="B31" s="4" t="n">
        <v>2</v>
      </c>
      <c r="C31" s="2" t="inlineStr">
        <is>
          <t>1T = $2 USD. Buyer pays on seller acceptance.</t>
        </is>
      </c>
    </row>
    <row r="32">
      <c r="A32" t="inlineStr">
        <is>
          <t>Avg intros per active buyer per month</t>
        </is>
      </c>
      <c r="B32" s="4" t="n">
        <v>0.3</v>
      </c>
    </row>
    <row r="33">
      <c r="A33" t="inlineStr">
        <is>
          <t>Intro acceptance rate</t>
        </is>
      </c>
      <c r="B33" s="7" t="n">
        <v>0.65</v>
      </c>
      <c r="C33" t="inlineStr">
        <is>
          <t>Trust Score uplift — targeted 65% acceptance rate (was 60%)</t>
        </is>
      </c>
    </row>
    <row r="34">
      <c r="A34" t="inlineStr">
        <is>
          <t>Free plan (seller)</t>
        </is>
      </c>
      <c r="B34" s="4" t="n">
        <v>0</v>
      </c>
      <c r="C34" s="2" t="inlineStr">
        <is>
          <t>R0/mo — 1 listing, local city, 60 days</t>
        </is>
      </c>
    </row>
    <row r="35">
      <c r="A35" t="inlineStr">
        <is>
          <t>Standard plan USD/mo</t>
        </is>
      </c>
      <c r="B35" s="4" t="n">
        <v>5</v>
      </c>
      <c r="C35" s="2" t="inlineStr">
        <is>
          <t>$5/mo — 5 listings, country-wide</t>
        </is>
      </c>
    </row>
    <row r="36">
      <c r="A36" t="inlineStr">
        <is>
          <t>International plan USD/mo</t>
        </is>
      </c>
      <c r="B36" s="4" t="n">
        <v>15</v>
      </c>
      <c r="C36" s="2" t="inlineStr">
        <is>
          <t>$15/mo — unlimited, all cities</t>
        </is>
      </c>
    </row>
    <row r="37">
      <c r="A37" t="inlineStr">
        <is>
          <t>Pct sellers on Free</t>
        </is>
      </c>
      <c r="B37" s="7" t="n">
        <v>0.7</v>
      </c>
    </row>
    <row r="38">
      <c r="A38" t="inlineStr">
        <is>
          <t>Pct sellers on Standard</t>
        </is>
      </c>
      <c r="B38" s="7" t="n">
        <v>0.25</v>
      </c>
    </row>
    <row r="39">
      <c r="A39" t="inlineStr">
        <is>
          <t>Pct sellers on International</t>
        </is>
      </c>
      <c r="B39" s="7" t="n">
        <v>0.05</v>
      </c>
    </row>
    <row r="40"/>
    <row r="41">
      <c r="A41" s="3" t="inlineStr">
        <is>
          <t>INFRASTRUCTURE COSTS (MONTHLY)</t>
        </is>
      </c>
    </row>
    <row r="42">
      <c r="A42" t="inlineStr">
        <is>
          <t>Hetzner VPS — Tier 1 (1-12 cities)</t>
        </is>
      </c>
      <c r="B42" s="4" t="n">
        <v>7.46</v>
      </c>
      <c r="C42" s="2" t="inlineStr">
        <is>
          <t>Single CPX22 — handles up to ~12 cities on SQLite</t>
        </is>
      </c>
    </row>
    <row r="43">
      <c r="A43" t="inlineStr">
        <is>
          <t>Hetzner VPS — Tier 2 (add at 12+ cities)</t>
        </is>
      </c>
      <c r="B43" s="4" t="n">
        <v>7</v>
      </c>
      <c r="C43" s="2" t="inlineStr">
        <is>
          <t>Second VPS for DB/cache separation</t>
        </is>
      </c>
    </row>
    <row r="44">
      <c r="A44" t="inlineStr">
        <is>
          <t>Hetzner VPS — Tier 3 (add at 25+ cities)</t>
        </is>
      </c>
      <c r="B44" s="4" t="n">
        <v>10</v>
      </c>
      <c r="C44" s="2" t="inlineStr">
        <is>
          <t>Third VPS — dedicated cache/queue. Possible PostgreSQL.</t>
        </is>
      </c>
    </row>
    <row r="45">
      <c r="A45" t="inlineStr">
        <is>
          <t>Cloudflare / SSL / nginx / Redis / SQLite / n8n</t>
        </is>
      </c>
      <c r="B45" s="4" t="n">
        <v>0</v>
      </c>
      <c r="C45" s="2" t="inlineStr">
        <is>
          <t>All free or self-hosted — $0 at any scale</t>
        </is>
      </c>
    </row>
    <row r="46">
      <c r="A46" t="inlineStr">
        <is>
          <t>Domain (trustsquare.co) amortised</t>
        </is>
      </c>
      <c r="B46" s="4" t="n">
        <v>1</v>
      </c>
      <c r="C46" s="2" t="inlineStr">
        <is>
          <t>~$12/year Cloudflare at-cost</t>
        </is>
      </c>
    </row>
    <row r="47">
      <c r="A47" t="inlineStr">
        <is>
          <t>Object Storage per city (photos)</t>
        </is>
      </c>
      <c r="B47" s="4" t="n">
        <v>1</v>
      </c>
      <c r="C47" s="2" t="inlineStr">
        <is>
          <t>~€1/mo per city — thumbnails + medium only</t>
        </is>
      </c>
    </row>
    <row r="48"/>
    <row r="49">
      <c r="A49" s="3" t="inlineStr">
        <is>
          <t>PAYMENT PROCESSING</t>
        </is>
      </c>
    </row>
    <row r="50">
      <c r="A50" t="inlineStr">
        <is>
          <t>Paystack (SA — Pretoria)</t>
        </is>
      </c>
      <c r="B50" s="4" t="inlineStr">
        <is>
          <t>1.5%+R1/txn</t>
        </is>
      </c>
    </row>
    <row r="51">
      <c r="A51" t="inlineStr">
        <is>
          <t>Stripe (intl — NY/LON/BER + expansion)</t>
        </is>
      </c>
      <c r="B51" s="4" t="inlineStr">
        <is>
          <t>2.9%+$0.30/txn</t>
        </is>
      </c>
    </row>
    <row r="52">
      <c r="A52" t="inlineStr">
        <is>
          <t>Blended effective rate</t>
        </is>
      </c>
      <c r="B52" s="7" t="n">
        <v>0.025</v>
      </c>
    </row>
    <row r="53"/>
    <row r="54">
      <c r="A54" s="3" t="inlineStr">
        <is>
          <t>DEVELOPMENT &amp; PEOPLE</t>
        </is>
      </c>
    </row>
    <row r="55">
      <c r="A55" t="inlineStr">
        <is>
          <t>Claude Pro subscription</t>
        </is>
      </c>
      <c r="B55" s="4" t="n">
        <v>20</v>
      </c>
      <c r="C55" s="2" t="inlineStr">
        <is>
          <t>$20/mo — sole dev tool (Claude Chat + Claude Code)</t>
        </is>
      </c>
    </row>
    <row r="56">
      <c r="A56" t="inlineStr">
        <is>
          <t>Staff (engineering / support / ops)</t>
        </is>
      </c>
      <c r="B56" s="4" t="n">
        <v>0</v>
      </c>
      <c r="C56" s="2" t="inlineStr">
        <is>
          <t>None — David + Claude AI. n8n handles automation.</t>
        </is>
      </c>
    </row>
    <row r="57"/>
    <row r="58">
      <c r="A58" s="3" t="inlineStr">
        <is>
          <t>OVERHEAD &amp; ADMIN</t>
        </is>
      </c>
    </row>
    <row r="59">
      <c r="A59" t="inlineStr">
        <is>
          <t>CIPC SA Pty Ltd (one-off, amortised Y1)</t>
        </is>
      </c>
      <c r="B59" s="4" t="n">
        <v>1</v>
      </c>
    </row>
    <row r="60">
      <c r="A60" t="inlineStr">
        <is>
          <t>International entity (IoM/Singapore, from M1)</t>
        </is>
      </c>
      <c r="B60" s="4" t="n">
        <v>100</v>
      </c>
      <c r="C60" s="2" t="inlineStr">
        <is>
          <t>Needed Day 1 for Stripe — NY/LON/BER all launch simultaneously</t>
        </is>
      </c>
    </row>
    <row r="61">
      <c r="A61" t="inlineStr">
        <is>
          <t>Paid SaaS / marketing / advertising</t>
        </is>
      </c>
      <c r="B61" s="4" t="n">
        <v>0</v>
      </c>
      <c r="C61" s="2" t="inlineStr">
        <is>
          <t>Zero — n8n auto-scraping replaces paid acquisition</t>
        </is>
      </c>
    </row>
    <row r="62">
      <c r="A62" t="inlineStr">
        <is>
          <t>ZAR / USD exchange rate</t>
        </is>
      </c>
      <c r="B62" s="4" t="n">
        <v>18.5</v>
      </c>
      <c r="C62" s="2" t="inlineStr">
        <is>
          <t>R18.50 per $1 — used to convert ZAR costs to USD (update periodically)</t>
        </is>
      </c>
    </row>
    <row r="63"/>
    <row r="64">
      <c r="A64" s="15" t="inlineStr">
        <is>
          <t>AI COACH — ADVERT AGENT</t>
        </is>
      </c>
    </row>
    <row r="65">
      <c r="A65" t="inlineStr">
        <is>
          <t>AI Coach adoption rate (% of active sellers)</t>
        </is>
      </c>
      <c r="B65" t="n">
        <v>0.15</v>
      </c>
      <c r="C65" t="inlineStr">
        <is>
          <t>15% of active sellers purchase &gt;= 1 pack per year</t>
        </is>
      </c>
    </row>
    <row r="66">
      <c r="A66" t="inlineStr">
        <is>
          <t>Avg packs per adopting seller per year</t>
        </is>
      </c>
      <c r="B66" t="n">
        <v>2</v>
      </c>
      <c r="C66" t="inlineStr">
        <is>
          <t>T spent per adopting seller per year across all tiers</t>
        </is>
      </c>
    </row>
    <row r="67">
      <c r="A67" t="inlineStr">
        <is>
          <t>Anthropic API cost per session (USD)</t>
        </is>
      </c>
      <c r="B67" t="n">
        <v>0.01</v>
      </c>
      <c r="C67" t="inlineStr">
        <is>
          <t>Haiku 4.5 — est. 800 in + 400 out tokens per session. Actual cost ~$0.0023/session (vs $0.01 modelled). Buffer retained; on-server AI replacement planned → variable cost → $0.</t>
        </is>
      </c>
    </row>
    <row r="68"/>
    <row r="69">
      <c r="A69" s="15" t="inlineStr">
        <is>
          <t>TIERED AI PACK PRICING</t>
        </is>
      </c>
    </row>
    <row r="70">
      <c r="A70" t="inlineStr">
        <is>
          <t>Tier 1 — 5T · 40 AI uses</t>
        </is>
      </c>
      <c r="B70" s="16" t="n">
        <v>5</v>
      </c>
      <c r="C70" t="inlineStr">
        <is>
          <t>Entry tier · 8 uses per Tuppence</t>
        </is>
      </c>
    </row>
    <row r="71">
      <c r="A71" t="inlineStr">
        <is>
          <t>Tier 2 — 10T · 100 AI uses</t>
        </is>
      </c>
      <c r="B71" s="16" t="n">
        <v>10</v>
      </c>
      <c r="C71" t="inlineStr">
        <is>
          <t>Standard tier · 10 uses per Tuppence</t>
        </is>
      </c>
    </row>
    <row r="72">
      <c r="A72" t="inlineStr">
        <is>
          <t>Tier 3 — 25T · 320 AI uses</t>
        </is>
      </c>
      <c r="B72" s="16" t="n">
        <v>25</v>
      </c>
      <c r="C72" t="inlineStr">
        <is>
          <t>Best value · 12.8 uses per Tuppence</t>
        </is>
      </c>
    </row>
    <row r="73">
      <c r="A73" t="inlineStr">
        <is>
          <t>Sessions per T — Tier 1</t>
        </is>
      </c>
      <c r="B73">
        <f>40/B70</f>
        <v/>
      </c>
      <c r="C73" t="inlineStr">
        <is>
          <t>(Tier 1: 40 uses ÷ 5T price)</t>
        </is>
      </c>
    </row>
    <row r="74">
      <c r="A74" t="inlineStr">
        <is>
          <t>Sessions per T — Tier 2</t>
        </is>
      </c>
      <c r="B74">
        <f>100/B71</f>
        <v/>
      </c>
      <c r="C74" t="inlineStr">
        <is>
          <t>10 sessions per Tuppence</t>
        </is>
      </c>
    </row>
    <row r="75">
      <c r="A75" t="inlineStr">
        <is>
          <t>Blended sessions per T (equal pack mix)</t>
        </is>
      </c>
      <c r="B75">
        <f>(40/B70 + 100/B71 + 320/B72)/3</f>
        <v/>
      </c>
      <c r="C75" t="inlineStr">
        <is>
          <t>~10.27 — used in Operating Costs Anthropic formula</t>
        </is>
      </c>
    </row>
    <row r="76">
      <c r="A76" t="inlineStr">
        <is>
          <t>ON-SERVER AI REPLACEMENT (planned)</t>
        </is>
      </c>
      <c r="B76" t="n">
        <v>0</v>
      </c>
      <c r="C76" t="inlineStr">
        <is>
          <t>Haiku 4.5 is drop-in replaceable. On-server LLM (e.g. Ollama/Llama) reduces variable AI cost to ~$0/session once server tier upgrades. Model retains $0.01/session as conservative buffer until replacement deployed.</t>
        </is>
      </c>
    </row>
    <row r="77"/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8"/>
  <sheetViews>
    <sheetView tabSelected="1" topLeftCell="A18" zoomScaleNormal="100" workbookViewId="0">
      <selection activeCell="A1" sqref="A1"/>
    </sheetView>
  </sheetViews>
  <sheetFormatPr baseColWidth="8" defaultColWidth="8.6640625" defaultRowHeight="14.4"/>
  <cols>
    <col width="38" customWidth="1" min="1" max="1"/>
    <col width="13" customWidth="1" min="2" max="13"/>
  </cols>
  <sheetData>
    <row r="1" ht="17.4" customHeight="1">
      <c r="A1" s="1" t="inlineStr">
        <is>
          <t>MarketSquare — Wave Cascade Growth Model</t>
        </is>
      </c>
    </row>
    <row r="2">
      <c r="A2" s="2" t="inlineStr">
        <is>
          <t>Simultaneous global launch · KPI-gated cascade · Monthly Year 1</t>
        </is>
      </c>
    </row>
    <row r="4">
      <c r="A4" s="3" t="inlineStr">
        <is>
          <t>CITY LAUNCH WAVES</t>
        </is>
      </c>
    </row>
    <row r="5">
      <c r="A5" s="8" t="inlineStr">
        <is>
          <t>Metric</t>
        </is>
      </c>
      <c r="B5" s="9" t="inlineStr">
        <is>
          <t>M1</t>
        </is>
      </c>
      <c r="C5" s="9" t="inlineStr">
        <is>
          <t>M2</t>
        </is>
      </c>
      <c r="D5" s="9" t="inlineStr">
        <is>
          <t>M3</t>
        </is>
      </c>
      <c r="E5" s="9" t="inlineStr">
        <is>
          <t>M4</t>
        </is>
      </c>
      <c r="F5" s="9" t="inlineStr">
        <is>
          <t>M5</t>
        </is>
      </c>
      <c r="G5" s="9" t="inlineStr">
        <is>
          <t>M6</t>
        </is>
      </c>
      <c r="H5" s="9" t="inlineStr">
        <is>
          <t>M7</t>
        </is>
      </c>
      <c r="I5" s="9" t="inlineStr">
        <is>
          <t>M8</t>
        </is>
      </c>
      <c r="J5" s="9" t="inlineStr">
        <is>
          <t>M9</t>
        </is>
      </c>
      <c r="K5" s="9" t="inlineStr">
        <is>
          <t>M10</t>
        </is>
      </c>
      <c r="L5" s="9" t="inlineStr">
        <is>
          <t>M11</t>
        </is>
      </c>
      <c r="M5" s="9" t="inlineStr">
        <is>
          <t>M12</t>
        </is>
      </c>
    </row>
    <row r="6">
      <c r="A6" t="inlineStr">
        <is>
          <t>Wave 1 cities (Day 1)</t>
        </is>
      </c>
      <c r="B6" s="10">
        <f>Assumptions!B12</f>
        <v/>
      </c>
      <c r="C6" s="10">
        <f>B6</f>
        <v/>
      </c>
      <c r="D6" s="10">
        <f>B6</f>
        <v/>
      </c>
      <c r="E6" s="10">
        <f>B6</f>
        <v/>
      </c>
      <c r="F6" s="10">
        <f>B6</f>
        <v/>
      </c>
      <c r="G6" s="10">
        <f>B6</f>
        <v/>
      </c>
      <c r="H6" s="10">
        <f>B6</f>
        <v/>
      </c>
      <c r="I6" s="10">
        <f>B6</f>
        <v/>
      </c>
      <c r="J6" s="10">
        <f>B6</f>
        <v/>
      </c>
      <c r="K6" s="10">
        <f>B6</f>
        <v/>
      </c>
      <c r="L6" s="10">
        <f>B6</f>
        <v/>
      </c>
      <c r="M6" s="10">
        <f>B6</f>
        <v/>
      </c>
    </row>
    <row r="7">
      <c r="A7" t="inlineStr">
        <is>
          <t>Wave 2 cities (Days 5-10)</t>
        </is>
      </c>
      <c r="B7" s="10">
        <f>Assumptions!B13</f>
        <v/>
      </c>
      <c r="C7" s="10">
        <f>B7</f>
        <v/>
      </c>
      <c r="D7" s="10">
        <f>B7</f>
        <v/>
      </c>
      <c r="E7" s="10">
        <f>B7</f>
        <v/>
      </c>
      <c r="F7" s="10">
        <f>B7</f>
        <v/>
      </c>
      <c r="G7" s="10">
        <f>B7</f>
        <v/>
      </c>
      <c r="H7" s="10">
        <f>B7</f>
        <v/>
      </c>
      <c r="I7" s="10">
        <f>B7</f>
        <v/>
      </c>
      <c r="J7" s="10">
        <f>B7</f>
        <v/>
      </c>
      <c r="K7" s="10">
        <f>B7</f>
        <v/>
      </c>
      <c r="L7" s="10">
        <f>B7</f>
        <v/>
      </c>
      <c r="M7" s="10">
        <f>B7</f>
        <v/>
      </c>
    </row>
    <row r="8">
      <c r="A8" t="inlineStr">
        <is>
          <t>Wave 3 cities (M2)</t>
        </is>
      </c>
      <c r="B8" s="10" t="n">
        <v>0</v>
      </c>
      <c r="C8" s="10">
        <f>Assumptions!B14</f>
        <v/>
      </c>
      <c r="D8" s="10">
        <f>C8</f>
        <v/>
      </c>
      <c r="E8" s="10">
        <f>C8</f>
        <v/>
      </c>
      <c r="F8" s="10">
        <f>C8</f>
        <v/>
      </c>
      <c r="G8" s="10">
        <f>C8</f>
        <v/>
      </c>
      <c r="H8" s="10">
        <f>C8</f>
        <v/>
      </c>
      <c r="I8" s="10">
        <f>C8</f>
        <v/>
      </c>
      <c r="J8" s="10">
        <f>C8</f>
        <v/>
      </c>
      <c r="K8" s="10">
        <f>C8</f>
        <v/>
      </c>
      <c r="L8" s="10">
        <f>C8</f>
        <v/>
      </c>
      <c r="M8" s="10">
        <f>C8</f>
        <v/>
      </c>
    </row>
    <row r="9">
      <c r="A9" t="inlineStr">
        <is>
          <t>Wave 4 cities (M3)</t>
        </is>
      </c>
      <c r="B9" s="10" t="n">
        <v>0</v>
      </c>
      <c r="C9" s="10" t="n">
        <v>0</v>
      </c>
      <c r="D9" s="10">
        <f>Assumptions!B15</f>
        <v/>
      </c>
      <c r="E9" s="10">
        <f>D9</f>
        <v/>
      </c>
      <c r="F9" s="10">
        <f>D9</f>
        <v/>
      </c>
      <c r="G9" s="10">
        <f>D9</f>
        <v/>
      </c>
      <c r="H9" s="10">
        <f>D9</f>
        <v/>
      </c>
      <c r="I9" s="10">
        <f>D9</f>
        <v/>
      </c>
      <c r="J9" s="10">
        <f>D9</f>
        <v/>
      </c>
      <c r="K9" s="10">
        <f>D9</f>
        <v/>
      </c>
      <c r="L9" s="10">
        <f>D9</f>
        <v/>
      </c>
      <c r="M9" s="10">
        <f>D9</f>
        <v/>
      </c>
    </row>
    <row r="10">
      <c r="A10" t="inlineStr">
        <is>
          <t>Steady-state new cities (M4+)</t>
        </is>
      </c>
      <c r="B10" s="10" t="n">
        <v>0</v>
      </c>
      <c r="C10" s="10" t="n">
        <v>0</v>
      </c>
      <c r="D10" s="10" t="n">
        <v>0</v>
      </c>
      <c r="E10" s="10">
        <f>Assumptions!B19</f>
        <v/>
      </c>
      <c r="F10" s="10">
        <f>Assumptions!B19</f>
        <v/>
      </c>
      <c r="G10" s="10">
        <f>Assumptions!B19</f>
        <v/>
      </c>
      <c r="H10" s="10">
        <f>Assumptions!B19</f>
        <v/>
      </c>
      <c r="I10" s="10">
        <f>Assumptions!B19</f>
        <v/>
      </c>
      <c r="J10" s="10">
        <f>Assumptions!B19</f>
        <v/>
      </c>
      <c r="K10" s="10">
        <f>Assumptions!B19</f>
        <v/>
      </c>
      <c r="L10" s="10">
        <f>Assumptions!B19</f>
        <v/>
      </c>
      <c r="M10" s="10">
        <f>Assumptions!B19</f>
        <v/>
      </c>
    </row>
    <row r="11">
      <c r="A11" s="3" t="inlineStr">
        <is>
          <t>TOTAL LIVE CITIES</t>
        </is>
      </c>
      <c r="B11" s="10">
        <f>B6+B7</f>
        <v/>
      </c>
      <c r="C11" s="10">
        <f>B6+B7+C8</f>
        <v/>
      </c>
      <c r="D11" s="10">
        <f>B6+B7+C8+D9</f>
        <v/>
      </c>
      <c r="E11" s="10">
        <f>D11+E10</f>
        <v/>
      </c>
      <c r="F11" s="10">
        <f>E11+F10</f>
        <v/>
      </c>
      <c r="G11" s="10">
        <f>F11+G10</f>
        <v/>
      </c>
      <c r="H11" s="10">
        <f>G11+H10</f>
        <v/>
      </c>
      <c r="I11" s="10">
        <f>H11+I10</f>
        <v/>
      </c>
      <c r="J11" s="10">
        <f>I11+J10</f>
        <v/>
      </c>
      <c r="K11" s="10">
        <f>J11+K10</f>
        <v/>
      </c>
      <c r="L11" s="10">
        <f>K11+L10</f>
        <v/>
      </c>
      <c r="M11" s="10">
        <f>L11+M10</f>
        <v/>
      </c>
    </row>
    <row r="13">
      <c r="A13" s="3" t="inlineStr">
        <is>
          <t>PLATFORM SELLERS</t>
        </is>
      </c>
    </row>
    <row r="14">
      <c r="A14" t="inlineStr">
        <is>
          <t>Avg sellers per city (post-launch growth)</t>
        </is>
      </c>
      <c r="B14" s="10">
        <f>Assumptions!B6</f>
        <v/>
      </c>
      <c r="C14" s="10">
        <f>ROUND(B14*(1+Assumptions!B22)*(1-Assumptions!B23),0)</f>
        <v/>
      </c>
      <c r="D14" s="10">
        <f>ROUND(C14*(1+Assumptions!B22)*(1-Assumptions!B23),0)</f>
        <v/>
      </c>
      <c r="E14" s="10">
        <f>ROUND(D14*(1+Assumptions!B22)*(1-Assumptions!B23),0)</f>
        <v/>
      </c>
      <c r="F14" s="10">
        <f>ROUND(E14*(1+Assumptions!B22)*(1-Assumptions!B23),0)</f>
        <v/>
      </c>
      <c r="G14" s="10">
        <f>ROUND(F14*(1+Assumptions!B22)*(1-Assumptions!B23),0)</f>
        <v/>
      </c>
      <c r="H14" s="10">
        <f>ROUND(G14*(1+Assumptions!B22)*(1-Assumptions!B23),0)</f>
        <v/>
      </c>
      <c r="I14" s="10">
        <f>ROUND(H14*(1+Assumptions!B22)*(1-Assumptions!B23),0)</f>
        <v/>
      </c>
      <c r="J14" s="10">
        <f>ROUND(I14*(1+Assumptions!B22)*(1-Assumptions!B23),0)</f>
        <v/>
      </c>
      <c r="K14" s="10">
        <f>ROUND(J14*(1+Assumptions!B22)*(1-Assumptions!B23),0)</f>
        <v/>
      </c>
      <c r="L14" s="10">
        <f>ROUND(K14*(1+Assumptions!B22)*(1-Assumptions!B23),0)</f>
        <v/>
      </c>
      <c r="M14" s="10">
        <f>ROUND(L14*(1+Assumptions!B22)*(1-Assumptions!B23),0)</f>
        <v/>
      </c>
    </row>
    <row r="15">
      <c r="A15" t="inlineStr">
        <is>
          <t>New-city sellers (fresh 60)</t>
        </is>
      </c>
      <c r="B15" s="10">
        <f>B11*Assumptions!B6</f>
        <v/>
      </c>
      <c r="C15" s="10">
        <f>(C11-B11)*Assumptions!B6</f>
        <v/>
      </c>
      <c r="D15" s="10">
        <f>(D11-C11)*Assumptions!B6</f>
        <v/>
      </c>
      <c r="E15" s="10">
        <f>(E11-D11)*Assumptions!B6</f>
        <v/>
      </c>
      <c r="F15" s="10">
        <f>(F11-E11)*Assumptions!B6</f>
        <v/>
      </c>
      <c r="G15" s="10">
        <f>(G11-F11)*Assumptions!B6</f>
        <v/>
      </c>
      <c r="H15" s="10">
        <f>(H11-G11)*Assumptions!B6</f>
        <v/>
      </c>
      <c r="I15" s="10">
        <f>(I11-H11)*Assumptions!B6</f>
        <v/>
      </c>
      <c r="J15" s="10">
        <f>(J11-I11)*Assumptions!B6</f>
        <v/>
      </c>
      <c r="K15" s="10">
        <f>(K11-J11)*Assumptions!B6</f>
        <v/>
      </c>
      <c r="L15" s="10">
        <f>(L11-K11)*Assumptions!B6</f>
        <v/>
      </c>
      <c r="M15" s="10">
        <f>(M11-L11)*Assumptions!B6</f>
        <v/>
      </c>
    </row>
    <row r="16">
      <c r="A16" s="3" t="inlineStr">
        <is>
          <t>TOTAL PLATFORM SELLERS</t>
        </is>
      </c>
      <c r="B16" s="10">
        <f>B15</f>
        <v/>
      </c>
      <c r="C16" s="10">
        <f>ROUND(B16*(1+Assumptions!B22-Assumptions!B23),0)+C15</f>
        <v/>
      </c>
      <c r="D16" s="10">
        <f>ROUND(C16*(1+Assumptions!B22-Assumptions!B23),0)+D15</f>
        <v/>
      </c>
      <c r="E16" s="10">
        <f>ROUND(D16*(1+Assumptions!B22-Assumptions!B23),0)+E15</f>
        <v/>
      </c>
      <c r="F16" s="10">
        <f>ROUND(E16*(1+Assumptions!B22-Assumptions!B23),0)+F15</f>
        <v/>
      </c>
      <c r="G16" s="10">
        <f>ROUND(F16*(1+Assumptions!B22-Assumptions!B23),0)+G15</f>
        <v/>
      </c>
      <c r="H16" s="10">
        <f>ROUND(G16*(1+Assumptions!B22-Assumptions!B23),0)+H15</f>
        <v/>
      </c>
      <c r="I16" s="10">
        <f>ROUND(H16*(1+Assumptions!B22-Assumptions!B23),0)+I15</f>
        <v/>
      </c>
      <c r="J16" s="10">
        <f>ROUND(I16*(1+Assumptions!B22-Assumptions!B23),0)+J15</f>
        <v/>
      </c>
      <c r="K16" s="10">
        <f>ROUND(J16*(1+Assumptions!B22-Assumptions!B23),0)+K15</f>
        <v/>
      </c>
      <c r="L16" s="10">
        <f>ROUND(K16*(1+Assumptions!B22-Assumptions!B23),0)+L15</f>
        <v/>
      </c>
      <c r="M16" s="10">
        <f>ROUND(L16*(1+Assumptions!B22-Assumptions!B23),0)+M15</f>
        <v/>
      </c>
    </row>
    <row r="17">
      <c r="A17" t="inlineStr">
        <is>
          <t>TOTAL PLATFORM LISTINGS</t>
        </is>
      </c>
      <c r="B17" s="10">
        <f>ROUND(B16*Assumptions!B7,0)</f>
        <v/>
      </c>
      <c r="C17" s="10">
        <f>ROUND(C16*Assumptions!B7,0)</f>
        <v/>
      </c>
      <c r="D17" s="10">
        <f>ROUND(D16*Assumptions!B7,0)</f>
        <v/>
      </c>
      <c r="E17" s="10">
        <f>ROUND(E16*Assumptions!B7,0)</f>
        <v/>
      </c>
      <c r="F17" s="10">
        <f>ROUND(F16*Assumptions!B7,0)</f>
        <v/>
      </c>
      <c r="G17" s="10">
        <f>ROUND(G16*Assumptions!B7,0)</f>
        <v/>
      </c>
      <c r="H17" s="10">
        <f>ROUND(H16*Assumptions!B7,0)</f>
        <v/>
      </c>
      <c r="I17" s="10">
        <f>ROUND(I16*Assumptions!B7,0)</f>
        <v/>
      </c>
      <c r="J17" s="10">
        <f>ROUND(J16*Assumptions!B7,0)</f>
        <v/>
      </c>
      <c r="K17" s="10">
        <f>ROUND(K16*Assumptions!B7,0)</f>
        <v/>
      </c>
      <c r="L17" s="10">
        <f>ROUND(L16*Assumptions!B7,0)</f>
        <v/>
      </c>
      <c r="M17" s="10">
        <f>ROUND(M16*Assumptions!B7,0)</f>
        <v/>
      </c>
    </row>
    <row r="19">
      <c r="A19" s="3" t="inlineStr">
        <is>
          <t>PLATFORM BUYERS</t>
        </is>
      </c>
    </row>
    <row r="20">
      <c r="A20" t="inlineStr">
        <is>
          <t>TOTAL PLATFORM BUYERS</t>
        </is>
      </c>
      <c r="B20" s="10">
        <f>ROUND(B16*Assumptions!B26,0)</f>
        <v/>
      </c>
      <c r="C20" s="10">
        <f>ROUND(B20*(1+Assumptions!B27-Assumptions!B28),0)+ROUND(C15*Assumptions!B26,0)</f>
        <v/>
      </c>
      <c r="D20" s="10">
        <f>ROUND(C20*(1+Assumptions!B27-Assumptions!B28),0)+ROUND(D15*Assumptions!B26,0)</f>
        <v/>
      </c>
      <c r="E20" s="10">
        <f>ROUND(D20*(1+Assumptions!B27-Assumptions!B28),0)+ROUND(E15*Assumptions!B26,0)</f>
        <v/>
      </c>
      <c r="F20" s="10">
        <f>ROUND(E20*(1+Assumptions!B27-Assumptions!B28),0)+ROUND(F15*Assumptions!B26,0)</f>
        <v/>
      </c>
      <c r="G20" s="10">
        <f>ROUND(F20*(1+Assumptions!B27-Assumptions!B28),0)+ROUND(G15*Assumptions!B26,0)</f>
        <v/>
      </c>
      <c r="H20" s="10">
        <f>ROUND(G20*(1+Assumptions!B27-Assumptions!B28),0)+ROUND(H15*Assumptions!B26,0)</f>
        <v/>
      </c>
      <c r="I20" s="10">
        <f>ROUND(H20*(1+Assumptions!B27-Assumptions!B28),0)+ROUND(I15*Assumptions!B26,0)</f>
        <v/>
      </c>
      <c r="J20" s="10">
        <f>ROUND(I20*(1+Assumptions!B27-Assumptions!B28),0)+ROUND(J15*Assumptions!B26,0)</f>
        <v/>
      </c>
      <c r="K20" s="10">
        <f>ROUND(J20*(1+Assumptions!B27-Assumptions!B28),0)+ROUND(K15*Assumptions!B26,0)</f>
        <v/>
      </c>
      <c r="L20" s="10">
        <f>ROUND(K20*(1+Assumptions!B27-Assumptions!B28),0)+ROUND(L15*Assumptions!B26,0)</f>
        <v/>
      </c>
      <c r="M20" s="10">
        <f>ROUND(L20*(1+Assumptions!B27-Assumptions!B28),0)+ROUND(M15*Assumptions!B26,0)</f>
        <v/>
      </c>
    </row>
    <row r="21">
      <c r="A21" s="3" t="inlineStr">
        <is>
          <t>TOTAL USERS (sellers + buyers)</t>
        </is>
      </c>
      <c r="B21" s="10">
        <f>B16+B20</f>
        <v/>
      </c>
      <c r="C21" s="10">
        <f>C16+C20</f>
        <v/>
      </c>
      <c r="D21" s="10">
        <f>D16+D20</f>
        <v/>
      </c>
      <c r="E21" s="10">
        <f>E16+E20</f>
        <v/>
      </c>
      <c r="F21" s="10">
        <f>F16+F20</f>
        <v/>
      </c>
      <c r="G21" s="10">
        <f>G16+G20</f>
        <v/>
      </c>
      <c r="H21" s="10">
        <f>H16+H20</f>
        <v/>
      </c>
      <c r="I21" s="10">
        <f>I16+I20</f>
        <v/>
      </c>
      <c r="J21" s="10">
        <f>J16+J20</f>
        <v/>
      </c>
      <c r="K21" s="10">
        <f>K16+K20</f>
        <v/>
      </c>
      <c r="L21" s="10">
        <f>L16+L20</f>
        <v/>
      </c>
      <c r="M21" s="10">
        <f>M16+M20</f>
        <v/>
      </c>
    </row>
    <row r="23">
      <c r="A23" s="3" t="inlineStr">
        <is>
          <t>MONTHLY REVENUE</t>
        </is>
      </c>
    </row>
    <row r="24">
      <c r="A24" t="inlineStr">
        <is>
          <t>Paid intros (all cities)</t>
        </is>
      </c>
      <c r="B24" s="10">
        <f>ROUND(B20*Assumptions!B32*Assumptions!B33,0)</f>
        <v/>
      </c>
      <c r="C24" s="10">
        <f>ROUND(C20*Assumptions!B32*Assumptions!B33,0)</f>
        <v/>
      </c>
      <c r="D24" s="10">
        <f>ROUND(D20*Assumptions!B32*Assumptions!B33,0)</f>
        <v/>
      </c>
      <c r="E24" s="10">
        <f>ROUND(E20*Assumptions!B32*Assumptions!B33,0)</f>
        <v/>
      </c>
      <c r="F24" s="10">
        <f>ROUND(F20*Assumptions!B32*Assumptions!B33,0)</f>
        <v/>
      </c>
      <c r="G24" s="10">
        <f>ROUND(G20*Assumptions!B32*Assumptions!B33,0)</f>
        <v/>
      </c>
      <c r="H24" s="10">
        <f>ROUND(H20*Assumptions!B32*Assumptions!B33,0)</f>
        <v/>
      </c>
      <c r="I24" s="10">
        <f>ROUND(I20*Assumptions!B32*Assumptions!B33,0)</f>
        <v/>
      </c>
      <c r="J24" s="10">
        <f>ROUND(J20*Assumptions!B32*Assumptions!B33,0)</f>
        <v/>
      </c>
      <c r="K24" s="10">
        <f>ROUND(K20*Assumptions!B32*Assumptions!B33,0)</f>
        <v/>
      </c>
      <c r="L24" s="10">
        <f>ROUND(L20*Assumptions!B32*Assumptions!B33,0)</f>
        <v/>
      </c>
      <c r="M24" s="10">
        <f>ROUND(M20*Assumptions!B32*Assumptions!B33,0)</f>
        <v/>
      </c>
    </row>
    <row r="25">
      <c r="A25" t="inlineStr">
        <is>
          <t>Tuppence revenue (USD)</t>
        </is>
      </c>
      <c r="B25" s="11">
        <f>B24*Assumptions!B31</f>
        <v/>
      </c>
      <c r="C25" s="11">
        <f>C24*Assumptions!B31</f>
        <v/>
      </c>
      <c r="D25" s="11">
        <f>D24*Assumptions!B31</f>
        <v/>
      </c>
      <c r="E25" s="11">
        <f>E24*Assumptions!B31</f>
        <v/>
      </c>
      <c r="F25" s="11">
        <f>F24*Assumptions!B31</f>
        <v/>
      </c>
      <c r="G25" s="11">
        <f>G24*Assumptions!B31</f>
        <v/>
      </c>
      <c r="H25" s="11">
        <f>H24*Assumptions!B31</f>
        <v/>
      </c>
      <c r="I25" s="11">
        <f>I24*Assumptions!B31</f>
        <v/>
      </c>
      <c r="J25" s="11">
        <f>J24*Assumptions!B31</f>
        <v/>
      </c>
      <c r="K25" s="11">
        <f>K24*Assumptions!B31</f>
        <v/>
      </c>
      <c r="L25" s="11">
        <f>L24*Assumptions!B31</f>
        <v/>
      </c>
      <c r="M25" s="11">
        <f>M24*Assumptions!B31</f>
        <v/>
      </c>
    </row>
    <row r="26">
      <c r="A26" t="inlineStr">
        <is>
          <t>Subscription revenue (USD)</t>
        </is>
      </c>
      <c r="B26" s="11">
        <f>ROUND(B16*Assumptions!B38,0)*Assumptions!B35+ROUND(B16*Assumptions!B39,0)*Assumptions!B36</f>
        <v/>
      </c>
      <c r="C26" s="11">
        <f>ROUND(C16*Assumptions!B38,0)*Assumptions!B35+ROUND(C16*Assumptions!B39,0)*Assumptions!B36</f>
        <v/>
      </c>
      <c r="D26" s="11">
        <f>ROUND(D16*Assumptions!B38,0)*Assumptions!B35+ROUND(D16*Assumptions!B39,0)*Assumptions!B36</f>
        <v/>
      </c>
      <c r="E26" s="11">
        <f>ROUND(E16*Assumptions!B38,0)*Assumptions!B35+ROUND(E16*Assumptions!B39,0)*Assumptions!B36</f>
        <v/>
      </c>
      <c r="F26" s="11">
        <f>ROUND(F16*Assumptions!B38,0)*Assumptions!B35+ROUND(F16*Assumptions!B39,0)*Assumptions!B36</f>
        <v/>
      </c>
      <c r="G26" s="11">
        <f>ROUND(G16*Assumptions!B38,0)*Assumptions!B35+ROUND(G16*Assumptions!B39,0)*Assumptions!B36</f>
        <v/>
      </c>
      <c r="H26" s="11">
        <f>ROUND(H16*Assumptions!B38,0)*Assumptions!B35+ROUND(H16*Assumptions!B39,0)*Assumptions!B36</f>
        <v/>
      </c>
      <c r="I26" s="11">
        <f>ROUND(I16*Assumptions!B38,0)*Assumptions!B35+ROUND(I16*Assumptions!B39,0)*Assumptions!B36</f>
        <v/>
      </c>
      <c r="J26" s="11">
        <f>ROUND(J16*Assumptions!B38,0)*Assumptions!B35+ROUND(J16*Assumptions!B39,0)*Assumptions!B36</f>
        <v/>
      </c>
      <c r="K26" s="11">
        <f>ROUND(K16*Assumptions!B38,0)*Assumptions!B35+ROUND(K16*Assumptions!B39,0)*Assumptions!B36</f>
        <v/>
      </c>
      <c r="L26" s="11">
        <f>ROUND(L16*Assumptions!B38,0)*Assumptions!B35+ROUND(L16*Assumptions!B39,0)*Assumptions!B36</f>
        <v/>
      </c>
      <c r="M26" s="11">
        <f>ROUND(M16*Assumptions!B38,0)*Assumptions!B35+ROUND(M16*Assumptions!B39,0)*Assumptions!B36</f>
        <v/>
      </c>
    </row>
    <row r="27">
      <c r="A27" s="3" t="inlineStr">
        <is>
          <t>TOTAL MONTHLY REVENUE (USD)</t>
        </is>
      </c>
      <c r="B27" s="11">
        <f>B25+B26</f>
        <v/>
      </c>
      <c r="C27" s="11">
        <f>C25+C26</f>
        <v/>
      </c>
      <c r="D27" s="11">
        <f>D25+D26</f>
        <v/>
      </c>
      <c r="E27" s="11">
        <f>E25+E26</f>
        <v/>
      </c>
      <c r="F27" s="11">
        <f>F25+F26</f>
        <v/>
      </c>
      <c r="G27" s="11">
        <f>G25+G26</f>
        <v/>
      </c>
      <c r="H27" s="11">
        <f>H25+H26</f>
        <v/>
      </c>
      <c r="I27" s="11">
        <f>I25+I26</f>
        <v/>
      </c>
      <c r="J27" s="11">
        <f>J25+J26</f>
        <v/>
      </c>
      <c r="K27" s="11">
        <f>K25+K26</f>
        <v/>
      </c>
      <c r="L27" s="11">
        <f>L25+L26</f>
        <v/>
      </c>
      <c r="M27" s="11">
        <f>M25+M26</f>
        <v/>
      </c>
    </row>
    <row r="29">
      <c r="A29" s="3" t="inlineStr">
        <is>
          <t>ANNUAL SUMMARY</t>
        </is>
      </c>
    </row>
    <row r="30">
      <c r="A30" s="8" t="n"/>
      <c r="B30" s="9" t="inlineStr">
        <is>
          <t>Year 1</t>
        </is>
      </c>
      <c r="C30" s="9" t="inlineStr">
        <is>
          <t>Year 2</t>
        </is>
      </c>
      <c r="D30" s="9" t="inlineStr">
        <is>
          <t>Year 3</t>
        </is>
      </c>
    </row>
    <row r="31">
      <c r="A31" t="inlineStr">
        <is>
          <t>Live cities (end of year)</t>
        </is>
      </c>
      <c r="B31" s="10">
        <f>M11</f>
        <v/>
      </c>
      <c r="C31" s="10">
        <f>B31+Assumptions!B19*12</f>
        <v/>
      </c>
      <c r="D31" s="10">
        <f>C31+Assumptions!B19*12</f>
        <v/>
      </c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</row>
    <row r="32">
      <c r="A32" t="inlineStr">
        <is>
          <t>Total sellers</t>
        </is>
      </c>
      <c r="B32" s="10">
        <f>M16</f>
        <v/>
      </c>
      <c r="C32" s="10">
        <f>ROUND(B32*(1+Assumptions!B22-Assumptions!B23)^12 + Assumptions!B19*12*Assumptions!B6,0)</f>
        <v/>
      </c>
      <c r="D32" s="10">
        <f>ROUND(C32*(1+Assumptions!B22-Assumptions!B23)^12 + Assumptions!B19*12*Assumptions!B6,0)</f>
        <v/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</row>
    <row r="33">
      <c r="A33" t="inlineStr">
        <is>
          <t>Total listings</t>
        </is>
      </c>
      <c r="B33" s="10">
        <f>ROUND(B32*Assumptions!B7,0)</f>
        <v/>
      </c>
      <c r="C33" s="10">
        <f>ROUND(C32*Assumptions!B7,0)</f>
        <v/>
      </c>
      <c r="D33" s="10">
        <f>ROUND(D32*Assumptions!B7,0)</f>
        <v/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</row>
    <row r="34">
      <c r="A34" t="inlineStr">
        <is>
          <t>Total buyers</t>
        </is>
      </c>
      <c r="B34" s="10">
        <f>M20</f>
        <v/>
      </c>
      <c r="C34" s="10">
        <f>ROUND(B34*(1+Assumptions!B27-Assumptions!B28)^12 + Assumptions!B19*12*Assumptions!B6*Assumptions!B26,0)</f>
        <v/>
      </c>
      <c r="D34" s="10">
        <f>ROUND(C34*(1+Assumptions!B27-Assumptions!B28)^12 + Assumptions!B19*12*Assumptions!B6*Assumptions!B26,0)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</row>
    <row r="35">
      <c r="A35" t="inlineStr">
        <is>
          <t>Total users</t>
        </is>
      </c>
      <c r="B35" s="10">
        <f>B32+B34</f>
        <v/>
      </c>
      <c r="C35" s="10">
        <f>C32+C34</f>
        <v/>
      </c>
      <c r="D35" s="10">
        <f>D32+D34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</row>
    <row r="36">
      <c r="A36" t="inlineStr">
        <is>
          <t>Annual Tuppence revenue (USD)</t>
        </is>
      </c>
      <c r="B36" s="11">
        <f>SUM(B25:M25)</f>
        <v/>
      </c>
      <c r="C36" s="11">
        <f>ROUND(B36*2.5,0)</f>
        <v/>
      </c>
      <c r="D36" s="11">
        <f>ROUND(C36*2,0)</f>
        <v/>
      </c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</row>
    <row r="37">
      <c r="A37" t="inlineStr">
        <is>
          <t>Annual subscription revenue (USD)</t>
        </is>
      </c>
      <c r="B37" s="11">
        <f>SUM(B26:M26)</f>
        <v/>
      </c>
      <c r="C37" s="11">
        <f>ROUND(B37*3,0)</f>
        <v/>
      </c>
      <c r="D37" s="11">
        <f>ROUND(C37*2,0)</f>
        <v/>
      </c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</row>
    <row r="38">
      <c r="A38" s="3" t="inlineStr">
        <is>
          <t>TOTAL ANNUAL REVENUE (USD)</t>
        </is>
      </c>
      <c r="B38" s="11">
        <f>B36+B37</f>
        <v/>
      </c>
      <c r="C38" s="11">
        <f>C36+C37</f>
        <v/>
      </c>
      <c r="D38" s="11">
        <f>D36+D37</f>
        <v/>
      </c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zoomScaleNormal="100" workbookViewId="0">
      <selection activeCell="A38" sqref="A38"/>
    </sheetView>
  </sheetViews>
  <sheetFormatPr baseColWidth="8" defaultColWidth="8.6640625" defaultRowHeight="14.4"/>
  <cols>
    <col width="46" customWidth="1" min="1" max="1"/>
    <col width="16" customWidth="1" min="2" max="4"/>
    <col width="48" customWidth="1" min="5" max="5"/>
  </cols>
  <sheetData>
    <row r="1" ht="17.4" customHeight="1">
      <c r="A1" s="1" t="inlineStr">
        <is>
          <t>MarketSquare — Operating Costs (Global Launch)</t>
        </is>
      </c>
    </row>
    <row r="2">
      <c r="A2" s="2" t="inlineStr">
        <is>
          <t>Phased server scaling · Wave-driven storage growth</t>
        </is>
      </c>
    </row>
    <row r="4">
      <c r="A4" s="3" t="inlineStr">
        <is>
          <t>ANNUAL OPERATING COSTS</t>
        </is>
      </c>
    </row>
    <row r="5"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Notes</t>
        </is>
      </c>
    </row>
    <row r="7">
      <c r="A7" s="3" t="inlineStr">
        <is>
          <t>1. INFRASTRUCTURE</t>
        </is>
      </c>
    </row>
    <row r="8">
      <c r="A8" t="inlineStr">
        <is>
          <t xml:space="preserve">   VPS Tier 1 (CPX22, all year)</t>
        </is>
      </c>
      <c r="B8" s="11">
        <f>Assumptions!B42*12</f>
        <v/>
      </c>
      <c r="C8" s="11">
        <f>B8</f>
        <v/>
      </c>
      <c r="D8" s="11">
        <f>B8</f>
        <v/>
      </c>
      <c r="E8" s="2" t="inlineStr">
        <is>
          <t>€7.46/mo — primary server, runs from Day 1</t>
        </is>
      </c>
    </row>
    <row r="9">
      <c r="A9" t="inlineStr">
        <is>
          <t xml:space="preserve">   VPS Tier 2 (added when 12+ cities)</t>
        </is>
      </c>
      <c r="B9" s="11">
        <f>Assumptions!B43*11</f>
        <v/>
      </c>
      <c r="C9" s="11">
        <f>Assumptions!B43*12</f>
        <v/>
      </c>
      <c r="D9" s="11">
        <f>Assumptions!B43*12</f>
        <v/>
      </c>
      <c r="E9" s="2" t="inlineStr">
        <is>
          <t>Second VPS — DB separation. Needed by M2 (12+ cities).</t>
        </is>
      </c>
    </row>
    <row r="10">
      <c r="A10" t="inlineStr">
        <is>
          <t xml:space="preserve">   VPS Tier 3 (added when 25+ cities)</t>
        </is>
      </c>
      <c r="B10" s="11">
        <f>Assumptions!B44*10</f>
        <v/>
      </c>
      <c r="C10" s="11">
        <f>Assumptions!B44*12</f>
        <v/>
      </c>
      <c r="D10" s="11">
        <f>Assumptions!B44*12</f>
        <v/>
      </c>
      <c r="E10" s="2" t="inlineStr">
        <is>
          <t>Third VPS — cache/queue. Needed by M3 (25+ cities).</t>
        </is>
      </c>
    </row>
    <row r="11">
      <c r="A11" t="inlineStr">
        <is>
          <t xml:space="preserve">   Domain</t>
        </is>
      </c>
      <c r="B11" s="11">
        <f>Assumptions!B46*12</f>
        <v/>
      </c>
      <c r="C11" s="11">
        <f>B11</f>
        <v/>
      </c>
      <c r="D11" s="11">
        <f>B11</f>
        <v/>
      </c>
    </row>
    <row r="12">
      <c r="A12" t="inlineStr">
        <is>
          <t xml:space="preserve">   Object Storage (per live city)</t>
        </is>
      </c>
      <c r="B12" s="11">
        <f>Assumptions!B47*12*ROUND(('Wave Growth'!B11+'Wave Growth'!M11)/2,0)</f>
        <v/>
      </c>
      <c r="C12" s="11">
        <f>Assumptions!B47*12*ROUND(('Wave Growth'!B31+'Wave Growth'!C31)/2,0)</f>
        <v/>
      </c>
      <c r="D12" s="11">
        <f>Assumptions!B47*12*ROUND(('Wave Growth'!C31+'Wave Growth'!D31)/2,0)</f>
        <v/>
      </c>
      <c r="E12" s="2" t="inlineStr">
        <is>
          <t>~$1/city/mo for thumbnails + medium. Scales linearly.</t>
        </is>
      </c>
    </row>
    <row r="13">
      <c r="A13" t="inlineStr">
        <is>
          <t xml:space="preserve">   Cloudflare / SSL / nginx / Redis / SQLite / n8n</t>
        </is>
      </c>
      <c r="B13" s="11" t="n">
        <v>0</v>
      </c>
      <c r="C13" s="11" t="n">
        <v>0</v>
      </c>
      <c r="D13" s="11" t="n">
        <v>0</v>
      </c>
      <c r="E13" s="2" t="inlineStr">
        <is>
          <t>All free or self-hosted — $0 at any scale</t>
        </is>
      </c>
    </row>
    <row r="14">
      <c r="A14" s="8" t="inlineStr">
        <is>
          <t xml:space="preserve">   Subtotal: Infrastructure</t>
        </is>
      </c>
      <c r="B14" s="11">
        <f>SUM(B8:B13)</f>
        <v/>
      </c>
      <c r="C14" s="11">
        <f>SUM(C8:C13)</f>
        <v/>
      </c>
      <c r="D14" s="11">
        <f>SUM(D8:D13)</f>
        <v/>
      </c>
    </row>
    <row r="16">
      <c r="A16" s="3" t="inlineStr">
        <is>
          <t>2. DEVELOPMENT</t>
        </is>
      </c>
    </row>
    <row r="17">
      <c r="A17" t="inlineStr">
        <is>
          <t xml:space="preserve">   Claude Pro</t>
        </is>
      </c>
      <c r="B17" s="11">
        <f>Assumptions!B55*12</f>
        <v/>
      </c>
      <c r="C17" s="11">
        <f>B17</f>
        <v/>
      </c>
      <c r="D17" s="11">
        <f>B17</f>
        <v/>
      </c>
      <c r="E17" s="2" t="inlineStr">
        <is>
          <t>$20/mo — sole dev tool</t>
        </is>
      </c>
    </row>
    <row r="18">
      <c r="A18" t="inlineStr">
        <is>
          <t xml:space="preserve">   Staff</t>
        </is>
      </c>
      <c r="B18" s="11" t="n">
        <v>0</v>
      </c>
      <c r="C18" s="11" t="n">
        <v>0</v>
      </c>
      <c r="D18" s="11" t="n">
        <v>0</v>
      </c>
      <c r="E18" s="2" t="inlineStr">
        <is>
          <t>None — David + Claude AI</t>
        </is>
      </c>
    </row>
    <row r="19">
      <c r="A19" s="8" t="inlineStr">
        <is>
          <t xml:space="preserve">   Subtotal: Development</t>
        </is>
      </c>
      <c r="B19" s="11">
        <f>B17+B18+B20</f>
        <v/>
      </c>
      <c r="C19" s="11">
        <f>C17+C18+C20</f>
        <v/>
      </c>
      <c r="D19" s="11">
        <f>D17+D18+D20</f>
        <v/>
      </c>
    </row>
    <row r="20">
      <c r="A20" t="inlineStr">
        <is>
          <t xml:space="preserve">   Anthropic API — AI Coach (Haiku 4.5)</t>
        </is>
      </c>
      <c r="B20">
        <f>ROUND('Wave Growth'!B32*Assumptions!B65*Assumptions!B66*Assumptions!$B$75*Assumptions!B67,0)</f>
        <v/>
      </c>
      <c r="C20">
        <f>ROUND('Wave Growth'!C32*Assumptions!B65*Assumptions!B66*Assumptions!$B$75*Assumptions!B67,0)</f>
        <v/>
      </c>
      <c r="D20">
        <f>ROUND('Wave Growth'!D32*Assumptions!B65*Assumptions!B66*Assumptions!$B$75*Assumptions!B67,0)</f>
        <v/>
      </c>
      <c r="E20" t="inlineStr">
        <is>
          <t>Haiku 4.5 · sellers × adoption × T/year × blended sessions/T (B74) × cost/session</t>
        </is>
      </c>
    </row>
    <row r="21">
      <c r="A21" s="3" t="inlineStr">
        <is>
          <t>3. PAYMENT PROCESSING</t>
        </is>
      </c>
    </row>
    <row r="22">
      <c r="A22" t="inlineStr">
        <is>
          <t xml:space="preserve">   Paystack + Stripe (blended 2.5%)</t>
        </is>
      </c>
      <c r="B22" s="11">
        <f>ROUND('Wave Growth'!B36*Assumptions!B52,0)</f>
        <v/>
      </c>
      <c r="C22" s="11">
        <f>ROUND('Wave Growth'!C36*Assumptions!B52,0)</f>
        <v/>
      </c>
      <c r="D22" s="11">
        <f>ROUND('Wave Growth'!D36*Assumptions!B52,0)</f>
        <v/>
      </c>
      <c r="E22" s="2" t="inlineStr">
        <is>
          <t>2.5% blended on Tuppence revenue only</t>
        </is>
      </c>
    </row>
    <row r="23">
      <c r="A23" s="8" t="inlineStr">
        <is>
          <t xml:space="preserve">   Subtotal: Payment</t>
        </is>
      </c>
      <c r="B23" s="11">
        <f>B22</f>
        <v/>
      </c>
      <c r="C23" s="11">
        <f>C22</f>
        <v/>
      </c>
      <c r="D23" s="11">
        <f>D22</f>
        <v/>
      </c>
    </row>
    <row r="25">
      <c r="A25" s="3" t="inlineStr">
        <is>
          <t>4. OVERHEAD &amp; ADMIN</t>
        </is>
      </c>
    </row>
    <row r="26">
      <c r="A26" t="inlineStr">
        <is>
          <t xml:space="preserve">   CIPC SA Pty Ltd</t>
        </is>
      </c>
      <c r="B26" s="11">
        <f>Assumptions!B59*12</f>
        <v/>
      </c>
      <c r="C26" s="11" t="n">
        <v>0</v>
      </c>
      <c r="D26" s="11" t="n">
        <v>0</v>
      </c>
    </row>
    <row r="27">
      <c r="A27" t="inlineStr">
        <is>
          <t xml:space="preserve">   International entity (from Day 1)</t>
        </is>
      </c>
      <c r="B27" s="11">
        <f>Assumptions!B60*12</f>
        <v/>
      </c>
      <c r="C27" s="11">
        <f>B27</f>
        <v/>
      </c>
      <c r="D27" s="11">
        <f>B27</f>
        <v/>
      </c>
      <c r="E27" s="2" t="inlineStr">
        <is>
          <t>IoM/Singapore — needed Day 1 for Stripe intl payments</t>
        </is>
      </c>
    </row>
    <row r="28">
      <c r="A28" t="inlineStr">
        <is>
          <t>Accountant (R2,000/mo)</t>
        </is>
      </c>
      <c r="B28">
        <f>ROUND(2000/Assumptions!$B$62*12,0)</f>
        <v/>
      </c>
      <c r="C28">
        <f>B28</f>
        <v/>
      </c>
      <c r="D28">
        <f>B28</f>
        <v/>
      </c>
      <c r="E28" s="2" t="n"/>
    </row>
    <row r="29">
      <c r="A29" t="inlineStr">
        <is>
          <t xml:space="preserve">Accountant software (R500/mo) </t>
        </is>
      </c>
      <c r="B29">
        <f>ROUND(500/Assumptions!$B$62*12,0)</f>
        <v/>
      </c>
      <c r="C29" s="17">
        <f>B29</f>
        <v/>
      </c>
      <c r="D29" s="17">
        <f>B29</f>
        <v/>
      </c>
      <c r="E29" s="2" t="n"/>
    </row>
    <row r="30">
      <c r="A30" t="inlineStr">
        <is>
          <t>SA Corporate Tax (27%)</t>
        </is>
      </c>
      <c r="B30" s="11" t="n">
        <v>0</v>
      </c>
      <c r="C30" s="11" t="n">
        <v>0</v>
      </c>
      <c r="D30" s="11" t="n">
        <v>0</v>
      </c>
      <c r="E30" s="2" t="n"/>
    </row>
    <row r="31">
      <c r="A31" t="inlineStr">
        <is>
          <t xml:space="preserve">   Marketing / SaaS</t>
        </is>
      </c>
      <c r="B31" s="11" t="n">
        <v>0</v>
      </c>
      <c r="C31" s="11" t="n">
        <v>0</v>
      </c>
      <c r="D31" s="11" t="n">
        <v>0</v>
      </c>
      <c r="E31" s="2" t="inlineStr">
        <is>
          <t>Zero — n8n auto-scraping is the acquisition engine</t>
        </is>
      </c>
    </row>
    <row r="32">
      <c r="A32" s="8" t="inlineStr">
        <is>
          <t xml:space="preserve">   Subtotal: Overhead</t>
        </is>
      </c>
      <c r="B32" s="18">
        <f>SUM(B26:B31)</f>
        <v/>
      </c>
      <c r="C32" s="11">
        <f>SUM(C26:C31)</f>
        <v/>
      </c>
      <c r="D32" s="11">
        <f>SUM(D26:D31)</f>
        <v/>
      </c>
    </row>
    <row r="34" ht="15.6" customHeight="1">
      <c r="A34" s="12" t="inlineStr">
        <is>
          <t>TOTAL OPERATING COSTS (USD)</t>
        </is>
      </c>
      <c r="B34" s="11">
        <f>B14+B19+B23+B32</f>
        <v/>
      </c>
      <c r="C34" s="11">
        <f>C14+C19+C23+C32</f>
        <v/>
      </c>
      <c r="D34" s="11">
        <f>D14+D19+D23+D32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topLeftCell="A18" zoomScaleNormal="100" workbookViewId="0">
      <selection activeCell="A1" sqref="A1"/>
    </sheetView>
  </sheetViews>
  <sheetFormatPr baseColWidth="8" defaultColWidth="8.6640625" defaultRowHeight="14.4"/>
  <cols>
    <col width="44" customWidth="1" min="1" max="1"/>
    <col width="16" customWidth="1" min="2" max="4"/>
  </cols>
  <sheetData>
    <row r="1" ht="17.4" customHeight="1">
      <c r="A1" s="1" t="inlineStr">
        <is>
          <t>MarketSquare — P&amp;L (Global Launch Model)</t>
        </is>
      </c>
    </row>
    <row r="2">
      <c r="A2" s="2" t="inlineStr">
        <is>
          <t>Simultaneous 4-city Day 1 · Wave cascade · 100+ cities by Year 3</t>
        </is>
      </c>
    </row>
    <row r="4">
      <c r="B4" s="9" t="inlineStr">
        <is>
          <t>Year 1</t>
        </is>
      </c>
      <c r="C4" s="9" t="inlineStr">
        <is>
          <t>Year 2</t>
        </is>
      </c>
      <c r="D4" s="9" t="inlineStr">
        <is>
          <t>Year 3</t>
        </is>
      </c>
    </row>
    <row r="5">
      <c r="A5" s="3" t="inlineStr">
        <is>
          <t>REVENUE</t>
        </is>
      </c>
    </row>
    <row r="6">
      <c r="A6" t="inlineStr">
        <is>
          <t xml:space="preserve">   Tuppence intro revenue</t>
        </is>
      </c>
      <c r="B6" s="11">
        <f>'Wave Growth'!B36</f>
        <v/>
      </c>
      <c r="C6" s="11">
        <f>'Wave Growth'!C36</f>
        <v/>
      </c>
      <c r="D6" s="11">
        <f>'Wave Growth'!D36</f>
        <v/>
      </c>
    </row>
    <row r="7">
      <c r="A7" t="inlineStr">
        <is>
          <t xml:space="preserve">   Subscription revenue</t>
        </is>
      </c>
      <c r="B7" s="11">
        <f>'Wave Growth'!B37</f>
        <v/>
      </c>
      <c r="C7" s="11">
        <f>'Wave Growth'!C37</f>
        <v/>
      </c>
      <c r="D7" s="11">
        <f>'Wave Growth'!D37</f>
        <v/>
      </c>
    </row>
    <row r="8">
      <c r="A8" s="3" t="inlineStr">
        <is>
          <t xml:space="preserve">   AI Coach pack revenue</t>
        </is>
      </c>
      <c r="B8" s="11">
        <f>ROUND('Wave Growth'!B32*Assumptions!B65*Assumptions!B66*Assumptions!B31,0)</f>
        <v/>
      </c>
      <c r="C8" s="11">
        <f>ROUND('Wave Growth'!C32*Assumptions!B65*Assumptions!B66*Assumptions!B31,0)</f>
        <v/>
      </c>
      <c r="D8" s="11">
        <f>ROUND('Wave Growth'!D32*Assumptions!B65*Assumptions!B66*Assumptions!B31,0)</f>
        <v/>
      </c>
    </row>
    <row r="9">
      <c r="A9" t="inlineStr">
        <is>
          <t>TOTAL REVENUE</t>
        </is>
      </c>
      <c r="B9">
        <f>B6+B7+B8</f>
        <v/>
      </c>
      <c r="C9">
        <f>C6+C7+C8</f>
        <v/>
      </c>
      <c r="D9">
        <f>D6+D7+D8</f>
        <v/>
      </c>
    </row>
    <row r="10">
      <c r="A10" s="3" t="inlineStr">
        <is>
          <t>COSTS</t>
        </is>
      </c>
    </row>
    <row r="11">
      <c r="A11" t="inlineStr">
        <is>
          <t xml:space="preserve">   Infrastructure</t>
        </is>
      </c>
      <c r="B11" s="11">
        <f>'Operating Costs'!B14</f>
        <v/>
      </c>
      <c r="C11" s="11">
        <f>'Operating Costs'!C14</f>
        <v/>
      </c>
      <c r="D11" s="11">
        <f>'Operating Costs'!D14</f>
        <v/>
      </c>
    </row>
    <row r="12">
      <c r="A12" t="inlineStr">
        <is>
          <t xml:space="preserve">   Development</t>
        </is>
      </c>
      <c r="B12" s="11">
        <f>'Operating Costs'!B19</f>
        <v/>
      </c>
      <c r="C12" s="11">
        <f>'Operating Costs'!C19</f>
        <v/>
      </c>
      <c r="D12" s="11">
        <f>'Operating Costs'!D19</f>
        <v/>
      </c>
    </row>
    <row r="13">
      <c r="A13" t="inlineStr">
        <is>
          <t xml:space="preserve">   Payment processing</t>
        </is>
      </c>
      <c r="B13" s="11">
        <f>'Operating Costs'!B23</f>
        <v/>
      </c>
      <c r="C13" s="11">
        <f>'Operating Costs'!C23</f>
        <v/>
      </c>
      <c r="D13" s="11">
        <f>'Operating Costs'!D23</f>
        <v/>
      </c>
    </row>
    <row r="14">
      <c r="A14" t="inlineStr">
        <is>
          <t xml:space="preserve">   Overhead &amp; admin</t>
        </is>
      </c>
      <c r="B14" s="11">
        <f>'Operating Costs'!B32</f>
        <v/>
      </c>
      <c r="C14" s="11">
        <f>'Operating Costs'!C32</f>
        <v/>
      </c>
      <c r="D14" s="11">
        <f>'Operating Costs'!D32</f>
        <v/>
      </c>
    </row>
    <row r="15">
      <c r="A15" s="3" t="inlineStr">
        <is>
          <t>TOTAL COSTS</t>
        </is>
      </c>
      <c r="B15" s="11">
        <f>SUM(B11:B14)</f>
        <v/>
      </c>
      <c r="C15" s="11">
        <f>SUM(C11:C14)</f>
        <v/>
      </c>
      <c r="D15" s="11">
        <f>SUM(D11:D14)</f>
        <v/>
      </c>
    </row>
    <row r="17" ht="15.6" customHeight="1">
      <c r="A17" s="12" t="inlineStr">
        <is>
          <t>NET INCOME / (LOSS)</t>
        </is>
      </c>
      <c r="B17" s="11">
        <f>B9-B15</f>
        <v/>
      </c>
      <c r="C17" s="11">
        <f>C9-C15</f>
        <v/>
      </c>
      <c r="D17" s="11">
        <f>D9-D15</f>
        <v/>
      </c>
    </row>
    <row r="18">
      <c r="A18" t="inlineStr">
        <is>
          <t>Operating Margin</t>
        </is>
      </c>
      <c r="B18" s="13">
        <f>IF(B9=0,0,B17/B9)</f>
        <v/>
      </c>
      <c r="C18" s="13">
        <f>IF(C9=0,0,C17/C9)</f>
        <v/>
      </c>
      <c r="D18" s="13">
        <f>IF(D9=0,0,D17/D9)</f>
        <v/>
      </c>
    </row>
    <row r="20">
      <c r="A20" s="3" t="inlineStr">
        <is>
          <t>SCALE METRICS</t>
        </is>
      </c>
    </row>
    <row r="21">
      <c r="A21" t="inlineStr">
        <is>
          <t>Live cities</t>
        </is>
      </c>
      <c r="B21" s="11">
        <f>'Wave Growth'!B31</f>
        <v/>
      </c>
      <c r="C21" s="11">
        <f>'Wave Growth'!C31</f>
        <v/>
      </c>
      <c r="D21" s="11">
        <f>'Wave Growth'!D31</f>
        <v/>
      </c>
    </row>
    <row r="22">
      <c r="A22" t="inlineStr">
        <is>
          <t>Total sellers</t>
        </is>
      </c>
      <c r="B22" s="11">
        <f>'Wave Growth'!B32</f>
        <v/>
      </c>
      <c r="C22" s="11">
        <f>'Wave Growth'!C32</f>
        <v/>
      </c>
      <c r="D22" s="11">
        <f>'Wave Growth'!D32</f>
        <v/>
      </c>
    </row>
    <row r="23">
      <c r="A23" t="inlineStr">
        <is>
          <t>Total listings</t>
        </is>
      </c>
      <c r="B23" s="11">
        <f>'Wave Growth'!B33</f>
        <v/>
      </c>
      <c r="C23" s="11">
        <f>'Wave Growth'!C33</f>
        <v/>
      </c>
      <c r="D23" s="11">
        <f>'Wave Growth'!D33</f>
        <v/>
      </c>
    </row>
    <row r="24">
      <c r="A24" t="inlineStr">
        <is>
          <t>Total buyers</t>
        </is>
      </c>
      <c r="B24" s="11">
        <f>'Wave Growth'!B34</f>
        <v/>
      </c>
      <c r="C24" s="11">
        <f>'Wave Growth'!C34</f>
        <v/>
      </c>
      <c r="D24" s="11">
        <f>'Wave Growth'!D34</f>
        <v/>
      </c>
    </row>
    <row r="25">
      <c r="A25" t="inlineStr">
        <is>
          <t>Total users</t>
        </is>
      </c>
      <c r="B25" s="11">
        <f>'Wave Growth'!B35</f>
        <v/>
      </c>
      <c r="C25" s="11">
        <f>'Wave Growth'!C35</f>
        <v/>
      </c>
      <c r="D25" s="11">
        <f>'Wave Growth'!D35</f>
        <v/>
      </c>
    </row>
    <row r="27">
      <c r="A27" s="3" t="inlineStr">
        <is>
          <t>UNIT ECONOMICS</t>
        </is>
      </c>
    </row>
    <row r="28">
      <c r="A28" t="inlineStr">
        <is>
          <t>Cost per seller (annual)</t>
        </is>
      </c>
      <c r="B28" s="11">
        <f>IF(B22=0,0,B15/B22)</f>
        <v/>
      </c>
      <c r="C28" s="11">
        <f>IF(C22=0,0,C15/C22)</f>
        <v/>
      </c>
      <c r="D28" s="11">
        <f>IF(D22=0,0,D15/D22)</f>
        <v/>
      </c>
    </row>
    <row r="29">
      <c r="A29" t="inlineStr">
        <is>
          <t>Revenue per seller (annual)</t>
        </is>
      </c>
      <c r="B29" s="11">
        <f>IF(B22=0,0,B9/B22)</f>
        <v/>
      </c>
      <c r="C29" s="11">
        <f>IF(C22=0,0,C9/C22)</f>
        <v/>
      </c>
      <c r="D29" s="11">
        <f>IF(D22=0,0,D9/D22)</f>
        <v/>
      </c>
    </row>
    <row r="30">
      <c r="A30" t="inlineStr">
        <is>
          <t>Cost per listing (annual)</t>
        </is>
      </c>
      <c r="B30" s="11">
        <f>IF(B23=0,0,B15/B23)</f>
        <v/>
      </c>
      <c r="C30" s="11">
        <f>IF(C23=0,0,C15/C23)</f>
        <v/>
      </c>
      <c r="D30" s="11">
        <f>IF(D23=0,0,D15/D23)</f>
        <v/>
      </c>
    </row>
    <row r="31">
      <c r="A31" t="inlineStr">
        <is>
          <t>Infra cost per city per month</t>
        </is>
      </c>
      <c r="B31" s="11">
        <f>IF(B21=0,0,B11/B21/12)</f>
        <v/>
      </c>
      <c r="C31" s="11">
        <f>IF(C21=0,0,C11/C21/12)</f>
        <v/>
      </c>
      <c r="D31" s="11">
        <f>IF(D21=0,0,D11/D21/12)</f>
        <v/>
      </c>
    </row>
    <row r="33">
      <c r="A33" s="3" t="inlineStr">
        <is>
          <t>MONTHLY AVERAGE</t>
        </is>
      </c>
    </row>
    <row r="34">
      <c r="A34" t="inlineStr">
        <is>
          <t>Avg monthly revenue</t>
        </is>
      </c>
      <c r="B34" s="11">
        <f>ROUND(B9/12,0)</f>
        <v/>
      </c>
      <c r="C34" s="11">
        <f>ROUND(C9/12,0)</f>
        <v/>
      </c>
      <c r="D34" s="11">
        <f>ROUND(D9/12,0)</f>
        <v/>
      </c>
    </row>
    <row r="35">
      <c r="A35" t="inlineStr">
        <is>
          <t>Avg monthly costs</t>
        </is>
      </c>
      <c r="B35" s="11">
        <f>ROUND(B15/12,0)</f>
        <v/>
      </c>
      <c r="C35" s="11">
        <f>ROUND(C15/12,0)</f>
        <v/>
      </c>
      <c r="D35" s="11">
        <f>ROUND(D15/12,0)</f>
        <v/>
      </c>
    </row>
    <row r="36">
      <c r="A36" t="inlineStr">
        <is>
          <t>Avg monthly net</t>
        </is>
      </c>
      <c r="B36" s="11">
        <f>B34-B35</f>
        <v/>
      </c>
      <c r="C36" s="11">
        <f>C34-C35</f>
        <v/>
      </c>
      <c r="D36" s="11">
        <f>D34-D35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topLeftCell="A3" zoomScaleNormal="100" workbookViewId="0">
      <selection activeCell="A1" sqref="A1"/>
    </sheetView>
  </sheetViews>
  <sheetFormatPr baseColWidth="8" defaultColWidth="8.6640625" defaultRowHeight="14.4"/>
  <cols>
    <col width="42" customWidth="1" min="1" max="1"/>
    <col width="16" customWidth="1" min="2" max="4"/>
  </cols>
  <sheetData>
    <row r="1" ht="17.4" customHeight="1">
      <c r="A1" s="1" t="inlineStr">
        <is>
          <t>MarketSquare — Global Launch Dashboard</t>
        </is>
      </c>
    </row>
    <row r="3">
      <c r="A3" s="3" t="inlineStr">
        <is>
          <t>KEY METRICS</t>
        </is>
      </c>
    </row>
    <row r="4">
      <c r="B4" s="9" t="inlineStr">
        <is>
          <t>Year 1</t>
        </is>
      </c>
      <c r="C4" s="9" t="inlineStr">
        <is>
          <t>Year 2</t>
        </is>
      </c>
      <c r="D4" s="9" t="inlineStr">
        <is>
          <t>Year 3</t>
        </is>
      </c>
    </row>
    <row r="5">
      <c r="A5" t="inlineStr">
        <is>
          <t>Live cities</t>
        </is>
      </c>
      <c r="B5" s="10">
        <f>'Revenue vs Cost'!B21</f>
        <v/>
      </c>
      <c r="C5" s="10">
        <f>'Revenue vs Cost'!C21</f>
        <v/>
      </c>
      <c r="D5" s="10">
        <f>'Revenue vs Cost'!D21</f>
        <v/>
      </c>
    </row>
    <row r="6">
      <c r="A6" t="inlineStr">
        <is>
          <t>Total sellers</t>
        </is>
      </c>
      <c r="B6" s="10">
        <f>'Revenue vs Cost'!B22</f>
        <v/>
      </c>
      <c r="C6" s="10">
        <f>'Revenue vs Cost'!C22</f>
        <v/>
      </c>
      <c r="D6" s="10">
        <f>'Revenue vs Cost'!D22</f>
        <v/>
      </c>
    </row>
    <row r="7">
      <c r="A7" t="inlineStr">
        <is>
          <t>Total listings</t>
        </is>
      </c>
      <c r="B7" s="10">
        <f>'Revenue vs Cost'!B23</f>
        <v/>
      </c>
      <c r="C7" s="10">
        <f>'Revenue vs Cost'!C23</f>
        <v/>
      </c>
      <c r="D7" s="10">
        <f>'Revenue vs Cost'!D23</f>
        <v/>
      </c>
    </row>
    <row r="8">
      <c r="A8" t="inlineStr">
        <is>
          <t>Total buyers</t>
        </is>
      </c>
      <c r="B8" s="10">
        <f>'Revenue vs Cost'!B24</f>
        <v/>
      </c>
      <c r="C8" s="10">
        <f>'Revenue vs Cost'!C24</f>
        <v/>
      </c>
      <c r="D8" s="10">
        <f>'Revenue vs Cost'!D24</f>
        <v/>
      </c>
    </row>
    <row r="9">
      <c r="A9" t="inlineStr">
        <is>
          <t>Total Revenue</t>
        </is>
      </c>
      <c r="B9" s="11">
        <f>'Revenue vs Cost'!B8</f>
        <v/>
      </c>
      <c r="C9" s="11">
        <f>'Revenue vs Cost'!C8</f>
        <v/>
      </c>
      <c r="D9" s="11">
        <f>'Revenue vs Cost'!D8</f>
        <v/>
      </c>
    </row>
    <row r="10">
      <c r="A10" t="inlineStr">
        <is>
          <t>Total Costs</t>
        </is>
      </c>
      <c r="B10" s="11">
        <f>'Revenue vs Cost'!B15</f>
        <v/>
      </c>
      <c r="C10" s="11">
        <f>'Revenue vs Cost'!C15</f>
        <v/>
      </c>
      <c r="D10" s="11">
        <f>'Revenue vs Cost'!D15</f>
        <v/>
      </c>
    </row>
    <row r="11">
      <c r="A11" t="inlineStr">
        <is>
          <t>Net Income / (Loss)</t>
        </is>
      </c>
      <c r="B11" s="11">
        <f>'Revenue vs Cost'!B17</f>
        <v/>
      </c>
      <c r="C11" s="11">
        <f>'Revenue vs Cost'!C17</f>
        <v/>
      </c>
      <c r="D11" s="11">
        <f>'Revenue vs Cost'!D17</f>
        <v/>
      </c>
    </row>
    <row r="12">
      <c r="A12" t="inlineStr">
        <is>
          <t>Operating Margin</t>
        </is>
      </c>
      <c r="B12" s="13">
        <f>'Revenue vs Cost'!B18</f>
        <v/>
      </c>
      <c r="C12" s="13">
        <f>'Revenue vs Cost'!C18</f>
        <v/>
      </c>
      <c r="D12" s="13">
        <f>'Revenue vs Cost'!D18</f>
        <v/>
      </c>
    </row>
    <row r="13">
      <c r="A13" t="inlineStr">
        <is>
          <t>Revenue per seller</t>
        </is>
      </c>
      <c r="B13" s="11">
        <f>'Revenue vs Cost'!B29</f>
        <v/>
      </c>
      <c r="C13" s="11">
        <f>'Revenue vs Cost'!C29</f>
        <v/>
      </c>
      <c r="D13" s="11">
        <f>'Revenue vs Cost'!D29</f>
        <v/>
      </c>
    </row>
    <row r="14">
      <c r="A14" t="inlineStr">
        <is>
          <t>Cost per seller</t>
        </is>
      </c>
      <c r="B14" s="11">
        <f>'Revenue vs Cost'!B28</f>
        <v/>
      </c>
      <c r="C14" s="11">
        <f>'Revenue vs Cost'!C28</f>
        <v/>
      </c>
      <c r="D14" s="11">
        <f>'Revenue vs Cost'!D28</f>
        <v/>
      </c>
    </row>
    <row r="16">
      <c r="A16" s="3" t="inlineStr">
        <is>
          <t>MONTHLY FIXED COST BREAKDOWN</t>
        </is>
      </c>
    </row>
    <row r="17">
      <c r="A17" s="2" t="inlineStr">
        <is>
          <t>Hetzner VPS Tier 1 (CPX22)</t>
        </is>
      </c>
      <c r="B17" s="14">
        <f>Assumptions!B42</f>
        <v/>
      </c>
    </row>
    <row r="18">
      <c r="A18" s="2" t="inlineStr">
        <is>
          <t>Hetzner VPS Tier 2 (from ~M2)</t>
        </is>
      </c>
      <c r="B18" s="14">
        <f>Assumptions!B43</f>
        <v/>
      </c>
    </row>
    <row r="19">
      <c r="A19" s="2" t="inlineStr">
        <is>
          <t>Hetzner VPS Tier 3 (from ~M3)</t>
        </is>
      </c>
      <c r="B19" s="14">
        <f>Assumptions!B44</f>
        <v/>
      </c>
    </row>
    <row r="20">
      <c r="A20" s="2" t="inlineStr">
        <is>
          <t>Domain</t>
        </is>
      </c>
      <c r="B20" s="14">
        <f>Assumptions!B46</f>
        <v/>
      </c>
    </row>
    <row r="21">
      <c r="A21" s="2" t="inlineStr">
        <is>
          <t>Object Storage (per city avg)</t>
        </is>
      </c>
      <c r="B21" s="14">
        <f>Assumptions!B47</f>
        <v/>
      </c>
    </row>
    <row r="22">
      <c r="A22" s="2" t="inlineStr">
        <is>
          <t>Claude Pro</t>
        </is>
      </c>
      <c r="B22" s="14">
        <f>Assumptions!B55</f>
        <v/>
      </c>
    </row>
    <row r="23">
      <c r="A23" s="2" t="inlineStr">
        <is>
          <t>International entity</t>
        </is>
      </c>
      <c r="B23" s="14">
        <f>Assumptions!B60</f>
        <v/>
      </c>
    </row>
    <row r="24">
      <c r="A24" s="2" t="inlineStr">
        <is>
          <t>CIPC amortised</t>
        </is>
      </c>
      <c r="B24" s="14">
        <f>Assumptions!B59</f>
        <v/>
      </c>
    </row>
    <row r="25">
      <c r="A25" s="2" t="inlineStr">
        <is>
          <t>Everything else</t>
        </is>
      </c>
      <c r="B25" s="14" t="n">
        <v>0</v>
      </c>
      <c r="C25" s="2" t="inlineStr">
        <is>
          <t>Cloudflare, SSL, nginx, Redis, SQLite, n8n, GitHub = $0</t>
        </is>
      </c>
    </row>
    <row r="26">
      <c r="A26" s="8" t="inlineStr">
        <is>
          <t>TOTAL monthly fixed (excl storage scaling)</t>
        </is>
      </c>
      <c r="B26" s="14">
        <f>SUM(B17:B25)</f>
        <v/>
      </c>
    </row>
    <row r="28">
      <c r="A28" s="3" t="inlineStr">
        <is>
          <t>SERVER SCALING REALITY CHECK</t>
        </is>
      </c>
    </row>
    <row r="29">
      <c r="A29" s="2" t="inlineStr">
        <is>
          <t>SQLite single-server capacity</t>
        </is>
      </c>
      <c r="B29" s="2" t="inlineStr">
        <is>
          <t>10,000-50,000 listings comfortably</t>
        </is>
      </c>
    </row>
    <row r="30">
      <c r="A30" s="2" t="inlineStr">
        <is>
          <t>PostgreSQL trigger</t>
        </is>
      </c>
      <c r="B30" s="2" t="inlineStr">
        <is>
          <t>Only if &gt;50K listings — likely late Year 2</t>
        </is>
      </c>
    </row>
    <row r="31">
      <c r="A31" s="2" t="inlineStr">
        <is>
          <t>n8n Docker container</t>
        </is>
      </c>
      <c r="B31" s="2" t="inlineStr">
        <is>
          <t>Negligible overhead — runs alongside BEA</t>
        </is>
      </c>
    </row>
    <row r="32">
      <c r="A32" s="2" t="inlineStr">
        <is>
          <t>Geo hierarchy DB (4 tables)</t>
        </is>
      </c>
      <c r="B32" s="2" t="inlineStr">
        <is>
          <t>Lightweight — countries/regions/cities/suburbs</t>
        </is>
      </c>
    </row>
    <row r="33">
      <c r="A33" s="2" t="inlineStr">
        <is>
          <t>Wave cascade server impact</t>
        </is>
      </c>
      <c r="B33" s="2" t="inlineStr">
        <is>
          <t>Each new city adds ~90 listings + ~300 buyers</t>
        </is>
      </c>
    </row>
    <row r="34">
      <c r="A34" s="2" t="inlineStr">
        <is>
          <t>Auto-emailer (n8n)</t>
        </is>
      </c>
      <c r="B34" s="2" t="inlineStr">
        <is>
          <t>Batch sends — no real-time load spike</t>
        </is>
      </c>
    </row>
    <row r="35">
      <c r="A35" s="2" t="inlineStr">
        <is>
          <t>Auto-city-launcher</t>
        </is>
      </c>
      <c r="B35" s="2" t="inlineStr">
        <is>
          <t>KPI check + DNS + listing publish — seconds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2026-04-05T12:45:07Z</dcterms:created>
  <dcterms:modified xmlns:dcterms="http://purl.org/dc/terms/" xmlns:xsi="http://www.w3.org/2001/XMLSchema-instance" xsi:type="dcterms:W3CDTF">2026-05-03T17:58:27Z</dcterms:modified>
  <cp:lastModifiedBy>David Conradie</cp:lastModifiedBy>
  <cp:revision>0</cp:revision>
</cp:coreProperties>
</file>