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ify" sheetId="1" state="visible" r:id="rId3"/>
    <sheet name="Mitigation" sheetId="2" state="visible" r:id="rId4"/>
    <sheet name="Batch_Check" sheetId="3" state="visible" r:id="rId5"/>
    <sheet name="Doc_Types" sheetId="4" state="visible" r:id="rId6"/>
    <sheet name="Keywords" sheetId="5" state="visible" r:id="rId7"/>
    <sheet name="Mitigation_Grounds" sheetId="6" state="visible" r:id="rId8"/>
    <sheet name="Wassenaar_ML" sheetId="7" state="visible" r:id="rId9"/>
    <sheet name="Wassenaar_DualUse" sheetId="8" state="visible" r:id="rId10"/>
    <sheet name="Definitions" sheetId="9" state="visible" r:id="rId11"/>
    <sheet name="SA_Law" sheetId="10" state="visible" r:id="rId12"/>
    <sheet name="Penalties" sheetId="11" state="visible" r:id="rId13"/>
    <sheet name="Markings_QA" sheetId="12" state="visible" r:id="rId14"/>
    <sheet name="Register" sheetId="13" state="visible" r:id="rId15"/>
  </sheets>
  <definedNames>
    <definedName function="false" hidden="true" localSheetId="2" name="_xlnm._FilterDatabase" vbProcedure="false">Batch_Check!$A$7:$K$207</definedName>
    <definedName function="false" hidden="false" localSheetId="0" name="_xlnm.Print_Area" vbProcedure="false">Classify!$B$1:$F$50</definedName>
    <definedName function="false" hidden="true" localSheetId="3" name="_xlnm._FilterDatabase" vbProcedure="false">Doc_Types!$A$1:$E$77</definedName>
    <definedName function="false" hidden="true" localSheetId="4" name="_xlnm._FilterDatabase" vbProcedure="false">Keywords!$A$1:$G$136</definedName>
    <definedName function="false" hidden="true" localSheetId="12" name="_xlnm._FilterDatabase" vbProcedure="false">Register!$A$1:$K$201</definedName>
    <definedName function="false" hidden="false" name="DocTypeList" vbProcedure="false">Doc_Types!$A$2:$A$77</definedName>
    <definedName function="false" hidden="false" name="GroundList" vbProcedure="false">Mitigation_Grounds!$B$2:$B$17</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6" authorId="0">
      <text>
        <r>
          <rPr>
            <sz val="10"/>
            <rFont val="Arial"/>
            <family val="2"/>
          </rPr>
          <t xml:space="preserve">Pick the closest INCOSE / V-model document type. The list is maintained on the Doc_Types tab.</t>
        </r>
      </text>
    </comment>
    <comment ref="C8" authorId="0">
      <text>
        <r>
          <rPr>
            <sz val="10"/>
            <rFont val="Arial"/>
            <family val="2"/>
          </rPr>
          <t xml:space="preserve">Paste the Scope, Purpose and General sections. Case does not matter. The keyword list is on the Keywords tab.</t>
        </r>
      </text>
    </comment>
  </commentList>
</comments>
</file>

<file path=xl/comments2.xml><?xml version="1.0" encoding="utf-8"?>
<comments xmlns="http://schemas.openxmlformats.org/spreadsheetml/2006/main" xmlns:xdr="http://schemas.openxmlformats.org/drawingml/2006/spreadsheetDrawing">
  <authors>
    <author>Unknown Author</author>
  </authors>
  <commentList>
    <comment ref="D20" authorId="0">
      <text>
        <r>
          <rPr>
            <sz val="10"/>
            <rFont val="Arial"/>
            <family val="2"/>
          </rPr>
          <t xml:space="preserve">Type the date, e.g. 2026-09-17</t>
        </r>
      </text>
    </comment>
  </commentList>
</comments>
</file>

<file path=xl/sharedStrings.xml><?xml version="1.0" encoding="utf-8"?>
<sst xmlns="http://schemas.openxmlformats.org/spreadsheetml/2006/main" count="1551" uniqueCount="947">
  <si>
    <t xml:space="preserve">EXPORT CONTROL CLASSIFICATION TOOL — Document QA Front Page</t>
  </si>
  <si>
    <t xml:space="preserve">Formula-only, standalone. Basis: Wassenaar Arrangement Lists (WA-LIST (25) 1 Corr.), SA Controlled Items Schedule (GN 321/2012), National Conventional Arms Control Act 41 of 2002, Non-Proliferation of WMD Act 87 of 1993, Firearms Control Act 60 of 2000.</t>
  </si>
  <si>
    <t xml:space="preserve">Yellow = you type / select here</t>
  </si>
  <si>
    <t xml:space="preserve">Grey = label</t>
  </si>
  <si>
    <t xml:space="preserve">Red = EXPORT CONTROLLED</t>
  </si>
  <si>
    <t xml:space="preserve">Green = NOT controlled</t>
  </si>
  <si>
    <t xml:space="preserve">Amber = conditional / review</t>
  </si>
  <si>
    <t xml:space="preserve">STEP 1 — DESCRIBE THE DOCUMENT</t>
  </si>
  <si>
    <t xml:space="preserve">Document type  (select from list) *</t>
  </si>
  <si>
    <t xml:space="preserve">Document number / title</t>
  </si>
  <si>
    <t xml:space="preserve">Scope / general paragraphs  (paste the text — the tool scans it for controlled technical terms)</t>
  </si>
  <si>
    <t xml:space="preserve">STEP 2 — EXPORT CONTROL DECISION  (automatic — no AI, formulas only)</t>
  </si>
  <si>
    <t xml:space="preserve">Default classification for this document type</t>
  </si>
  <si>
    <t xml:space="preserve">V-model phase</t>
  </si>
  <si>
    <t xml:space="preserve">Why this document type has that default</t>
  </si>
  <si>
    <t xml:space="preserve">Typical control-list entry for this document type</t>
  </si>
  <si>
    <t xml:space="preserve">Controlled technical keywords found in the scope text</t>
  </si>
  <si>
    <t xml:space="preserve">Keywords matched</t>
  </si>
  <si>
    <t xml:space="preserve">Control-list entries indicated by those keywords</t>
  </si>
  <si>
    <t xml:space="preserve">EXPORT CONTROLLED ?</t>
  </si>
  <si>
    <t xml:space="preserve">Reason for the decision</t>
  </si>
  <si>
    <t xml:space="preserve">Legal basis</t>
  </si>
  <si>
    <t xml:space="preserve">Marking to apply to the document  (follows the FINAL classification in C36)</t>
  </si>
  <si>
    <t xml:space="preserve">STEP 3 — NEXT ACTION</t>
  </si>
  <si>
    <t xml:space="preserve">What to do now</t>
  </si>
  <si>
    <t xml:space="preserve">➜ Go to Mitigation tab</t>
  </si>
  <si>
    <t xml:space="preserve">Mitigation verdict (from Mitigation tab)</t>
  </si>
  <si>
    <t xml:space="preserve">FINAL CLASSIFICATION</t>
  </si>
  <si>
    <t xml:space="preserve">RULE SETTINGS  (Export Control Officer only — change only when company policy changes)</t>
  </si>
  <si>
    <t xml:space="preserve">Setting</t>
  </si>
  <si>
    <t xml:space="preserve">Value</t>
  </si>
  <si>
    <t xml:space="preserve">Meaning</t>
  </si>
  <si>
    <t xml:space="preserve">Escalation threshold for 'Depends' document types</t>
  </si>
  <si>
    <t xml:space="preserve">Number of controlled keyword hits in the scope text that turns a 'Depends' type into YES. Policy default 1 (any controlled term = controlled).</t>
  </si>
  <si>
    <t xml:space="preserve">Escalation threshold for 'No' document types</t>
  </si>
  <si>
    <t xml:space="preserve">Number of hits that turns a 'No' type (e.g. project plan) into YES. Policy default 2 (one stray word such as 'radar' does not control a schedule; two or more do).</t>
  </si>
  <si>
    <t xml:space="preserve">Tool version</t>
  </si>
  <si>
    <t xml:space="preserve">v1.0 — 17 Sep 2026 — list basis WA-LIST (25) 1 Corr.</t>
  </si>
  <si>
    <t xml:space="preserve">HOW TO USE (30 seconds)</t>
  </si>
  <si>
    <t xml:space="preserve">1.  Select the document type in C6 and paste the scope / general paragraphs into C8.</t>
  </si>
  <si>
    <t xml:space="preserve">2.  Read the decision in C24 and the reason in C25. Red = EXPORT CONTROLLED, green = NOT controlled.</t>
  </si>
  <si>
    <t xml:space="preserve">3.  If red and you disagree: Mitigation tab → choose 1-3 grounds, write your justification and evidence → read the verdict.</t>
  </si>
  <si>
    <t xml:space="preserve">4.  The Export Control Officer signs off on the Mitigation tab; the FINAL classification appears in C36.</t>
  </si>
  <si>
    <t xml:space="preserve">5.  Copy the marking text (C30) into the document and log the result on the Register tab.</t>
  </si>
  <si>
    <t xml:space="preserve">Many documents at once: use the Batch_Check tab (one row per document, same rules). Fact base: Doc_Types · Keywords · Mitigation_Grounds · Wassenaar_ML · Wassenaar_DualUse · Definitions · SA_Law · Penalties · Markings_QA.</t>
  </si>
  <si>
    <t xml:space="preserve">MITIGATION — Author's case for downgrading to NOT EXPORT CONTROLLED</t>
  </si>
  <si>
    <t xml:space="preserve">Only relevant when the Classify tab says YES. Choose up to three grounds; the tool applies the Wassenaar General Technology Note, the Definitions and the NCAC Act rules and tells you whether each ground is ACCEPTED, CONDITIONAL or REJECTED — and why.</t>
  </si>
  <si>
    <t xml:space="preserve">Document</t>
  </si>
  <si>
    <t xml:space="preserve">Matched keywords:</t>
  </si>
  <si>
    <t xml:space="preserve">Initial</t>
  </si>
  <si>
    <t xml:space="preserve">Keyword hits in scope text</t>
  </si>
  <si>
    <t xml:space="preserve">hits</t>
  </si>
  <si>
    <t xml:space="preserve">Default classification of this document type</t>
  </si>
  <si>
    <t xml:space="preserve">default</t>
  </si>
  <si>
    <t xml:space="preserve">STEP 3 — AUTHOR'S GROUNDS  (select a ground, write the justification, give the evidence)</t>
  </si>
  <si>
    <t xml:space="preserve">#</t>
  </si>
  <si>
    <t xml:space="preserve">Mitigation ground  (select)</t>
  </si>
  <si>
    <t xml:space="preserve">Author's justification  (free text)</t>
  </si>
  <si>
    <t xml:space="preserve">Evidence reference  (URL / publication / standard / permit no.)</t>
  </si>
  <si>
    <t xml:space="preserve">Outcome</t>
  </si>
  <si>
    <t xml:space="preserve">Why  (automatic, rule-based)</t>
  </si>
  <si>
    <t xml:space="preserve">Fact base tab</t>
  </si>
  <si>
    <t xml:space="preserve">VERDICT  (automatic)</t>
  </si>
  <si>
    <t xml:space="preserve">Verdict</t>
  </si>
  <si>
    <t xml:space="preserve">Code</t>
  </si>
  <si>
    <t xml:space="preserve">Grounds 7, 8, 9, 10, 12 and 13 are always REJECTED — they describe the recipient, destination, permit status, intent, dual-use nature or age, none of which changes what the document IS.</t>
  </si>
  <si>
    <t xml:space="preserve">STEP 4 — EXPORT CONTROL OFFICER SIGN-OFF  (the ECO's decision is final; the author cannot self-downgrade)</t>
  </si>
  <si>
    <t xml:space="preserve">Export Control Officer name</t>
  </si>
  <si>
    <t xml:space="preserve">Date of decision</t>
  </si>
  <si>
    <t xml:space="preserve">ECO decision  (select)</t>
  </si>
  <si>
    <t xml:space="preserve">ECO comments / conditions verified</t>
  </si>
  <si>
    <t xml:space="preserve">LIABILITY NOTE — Under the NCAC Act s24 the offence of transferring a controlled item without a permit carries up to 25 years' imprisonment, and under the Criminal Procedure Act s332 the company's directors and managers are personally liable unless they prove they could not have prevented it. This sheet, completed and signed, is the evidence that all reasonable steps were taken. A downgrade is never the author's decision alone.</t>
  </si>
  <si>
    <t xml:space="preserve">BATCH CHECK — classify a table of documents by document type against the Wassenaar Lists</t>
  </si>
  <si>
    <t xml:space="preserve">One row per document. Select the document type (column D); optionally paste the scope / description (column E) so the keyword scan can escalate or confirm. Columns F-K are automatic and use the same rules and thresholds as the Classify tab. To argue a YES down, copy that row's type and text into the Classify tab and use the Mitigation tab.</t>
  </si>
  <si>
    <t xml:space="preserve">Documents listed</t>
  </si>
  <si>
    <t xml:space="preserve">EXPORT CONTROLLED</t>
  </si>
  <si>
    <t xml:space="preserve">NOT EXPORT CONTROLLED</t>
  </si>
  <si>
    <t xml:space="preserve">REVIEW (needs scope text)</t>
  </si>
  <si>
    <t xml:space="preserve">Document number</t>
  </si>
  <si>
    <t xml:space="preserve">Title</t>
  </si>
  <si>
    <t xml:space="preserve">Document type  (select)</t>
  </si>
  <si>
    <t xml:space="preserve">Scope / description  (optional — paste text)</t>
  </si>
  <si>
    <t xml:space="preserve">Type default</t>
  </si>
  <si>
    <t xml:space="preserve">Keyword hits</t>
  </si>
  <si>
    <t xml:space="preserve">Wassenaar / SA entry</t>
  </si>
  <si>
    <t xml:space="preserve">Reason</t>
  </si>
  <si>
    <t xml:space="preserve">Marking to apply</t>
  </si>
  <si>
    <t xml:space="preserve">EW-SRS-0042</t>
  </si>
  <si>
    <t xml:space="preserve">Radar Warning Receiver LRU — System Requirements Specification</t>
  </si>
  <si>
    <t xml:space="preserve">System Requirements Specification (SRS)</t>
  </si>
  <si>
    <t xml:space="preserve">Defines the RWR LRU: 2-18 GHz, sensitivity -65 dBm, pulse descriptor word output.</t>
  </si>
  <si>
    <t xml:space="preserve">EW-PMP-0001</t>
  </si>
  <si>
    <t xml:space="preserve">Programme Management Plan</t>
  </si>
  <si>
    <t xml:space="preserve">Project Management Plan / Schedule / WBS</t>
  </si>
  <si>
    <t xml:space="preserve">Milestones, budget, resourcing and review schedule.</t>
  </si>
  <si>
    <t xml:space="preserve">EW-CON-0007</t>
  </si>
  <si>
    <t xml:space="preserve">Concept of Operations — Self-Protection Suite</t>
  </si>
  <si>
    <t xml:space="preserve">Concept of Operations (ConOps)</t>
  </si>
  <si>
    <t xml:space="preserve">Rows 8-10 are examples — overwrite them with real documents. Yellow = input; all other columns are formulas.</t>
  </si>
  <si>
    <t xml:space="preserve">Document type</t>
  </si>
  <si>
    <t xml:space="preserve">Default classification</t>
  </si>
  <si>
    <t xml:space="preserve">Typical control-list entry</t>
  </si>
  <si>
    <t xml:space="preserve">Reason for the default</t>
  </si>
  <si>
    <t xml:space="preserve">Concept &amp; Requirements</t>
  </si>
  <si>
    <t xml:space="preserve">Depends</t>
  </si>
  <si>
    <t xml:space="preserve">ML22 / ML11</t>
  </si>
  <si>
    <t xml:space="preserve">Usually describes mission and operational use; becomes controlled when it states threat types, frequency bands, ranges or effectiveness.</t>
  </si>
  <si>
    <t xml:space="preserve">Operational Scenario / Threat Analysis</t>
  </si>
  <si>
    <t xml:space="preserve">Yes</t>
  </si>
  <si>
    <t xml:space="preserve">ML11 / ML17 (libraries) / ML22</t>
  </si>
  <si>
    <t xml:space="preserve">Threat emitter parameters and EW mission data are among the most sensitive military technology; controlled regardless of format.</t>
  </si>
  <si>
    <t xml:space="preserve">Stakeholder / User Requirements Document</t>
  </si>
  <si>
    <t xml:space="preserve">ML22</t>
  </si>
  <si>
    <t xml:space="preserve">Controlled when it contains quantified military performance requirements; generic needs statements are not technology.</t>
  </si>
  <si>
    <t xml:space="preserve">ML22 (technology for ML11/ML10/ML5 items)</t>
  </si>
  <si>
    <t xml:space="preserve">Quantified requirements for a military system are 'technology' required for its development.</t>
  </si>
  <si>
    <t xml:space="preserve">Subsystem / LRU Requirements Specification</t>
  </si>
  <si>
    <t xml:space="preserve">LRU-level performance, interface and environmental requirements are development technology.</t>
  </si>
  <si>
    <t xml:space="preserve">Interface Requirements Specification (IRS)</t>
  </si>
  <si>
    <t xml:space="preserve">Defines signals, protocols, timing and data formats of a military system.</t>
  </si>
  <si>
    <t xml:space="preserve">Requirements Traceability Matrix (RTM)</t>
  </si>
  <si>
    <t xml:space="preserve">Controlled if it reproduces requirement text; an ID-only matrix is not technology.</t>
  </si>
  <si>
    <t xml:space="preserve">System Architecture Description</t>
  </si>
  <si>
    <t xml:space="preserve">Architecture &amp; Design</t>
  </si>
  <si>
    <t xml:space="preserve">Functional and physical decomposition of a military system is development technology.</t>
  </si>
  <si>
    <t xml:space="preserve">System / Segment Design Description (SSDD)</t>
  </si>
  <si>
    <t xml:space="preserve">Detailed design of a controlled system.</t>
  </si>
  <si>
    <t xml:space="preserve">Interface Control Document (ICD)</t>
  </si>
  <si>
    <t xml:space="preserve">Signal, message, electrical and protocol definitions; only a purely mechanical form-fit ICD may be argued down (Mitigation ground 14).</t>
  </si>
  <si>
    <t xml:space="preserve">Hardware Design Description (HDD)</t>
  </si>
  <si>
    <t xml:space="preserve">Circuit-level and module-level design of controlled hardware.</t>
  </si>
  <si>
    <t xml:space="preserve">Software Requirements Specification (SwRS)</t>
  </si>
  <si>
    <t xml:space="preserve">ML21 / ML22</t>
  </si>
  <si>
    <t xml:space="preserve">Requirements for software specially designed for a Munitions List item.</t>
  </si>
  <si>
    <t xml:space="preserve">Software Design Description (SDD)</t>
  </si>
  <si>
    <t xml:space="preserve">Design of software specially designed for a Munitions List item.</t>
  </si>
  <si>
    <t xml:space="preserve">Algorithm Description Document</t>
  </si>
  <si>
    <t xml:space="preserve">ML21 / ML22 / ML11</t>
  </si>
  <si>
    <t xml:space="preserve">Signal processing, detection, deinterleaving, DF, jamming-technique and tracking algorithms are core EW technology.</t>
  </si>
  <si>
    <t xml:space="preserve">Waveform / Signal Processing Definition</t>
  </si>
  <si>
    <t xml:space="preserve">ML11 / ML22 / 5A001</t>
  </si>
  <si>
    <t xml:space="preserve">Waveform parameters, modulation, ECM/ECCM techniques and frequency-agility schemes are controlled technology.</t>
  </si>
  <si>
    <t xml:space="preserve">Circuit Schematics &amp; PCB Layouts</t>
  </si>
  <si>
    <t xml:space="preserve">ML22 / 3A001 / 3E001</t>
  </si>
  <si>
    <t xml:space="preserve">Production technology for controlled electronics.</t>
  </si>
  <si>
    <t xml:space="preserve">Mechanical Drawings (assembly / machining)</t>
  </si>
  <si>
    <t xml:space="preserve">ML22 / ML16</t>
  </si>
  <si>
    <t xml:space="preserve">Production drawings of specially designed components.</t>
  </si>
  <si>
    <t xml:space="preserve">Bill of Materials (BOM) / Parts List</t>
  </si>
  <si>
    <t xml:space="preserve">ML22 / 3A001</t>
  </si>
  <si>
    <t xml:space="preserve">Controlled when it reveals controlled component types (MMICs, ADCs, TWTs) or design structure; a COTS-only list of fasteners is not.</t>
  </si>
  <si>
    <t xml:space="preserve">Trade Study / Analysis Report</t>
  </si>
  <si>
    <t xml:space="preserve">Controlled when it compares candidate designs on military performance; a purely commercial trade study is not.</t>
  </si>
  <si>
    <t xml:space="preserve">Modelling &amp; Simulation Report</t>
  </si>
  <si>
    <t xml:space="preserve">ML22 / ML21 / ML14</t>
  </si>
  <si>
    <t xml:space="preserve">Models of controlled system performance and simulation software are technology.</t>
  </si>
  <si>
    <t xml:space="preserve">Performance Analysis (link budget, ERP, sensitivity, J/S)</t>
  </si>
  <si>
    <t xml:space="preserve">ML11 / ML22</t>
  </si>
  <si>
    <t xml:space="preserve">Quantified military performance is controlled technology.</t>
  </si>
  <si>
    <t xml:space="preserve">Reliability / FMECA Report</t>
  </si>
  <si>
    <t xml:space="preserve">Reveals design structure and failure modes; controlled when it describes a controlled LRU in detail.</t>
  </si>
  <si>
    <t xml:space="preserve">Safety Hazard Analysis / Safety Case</t>
  </si>
  <si>
    <t xml:space="preserve">Controlled when it describes weapon, emitter or aircraft-integration functions in technical detail.</t>
  </si>
  <si>
    <t xml:space="preserve">Design Review Package (SRR / PDR / CDR)</t>
  </si>
  <si>
    <t xml:space="preserve">Consolidates requirements, design and performance data of a controlled system.</t>
  </si>
  <si>
    <t xml:space="preserve">Cybersecurity / Cryptographic Design</t>
  </si>
  <si>
    <t xml:space="preserve">ML11 / ML21 / 5A002 / 5D002 / 5E002</t>
  </si>
  <si>
    <t xml:space="preserve">Information-security design is controlled under both the Munitions List and Dual-Use Category 5 Part 2.</t>
  </si>
  <si>
    <t xml:space="preserve">Configuration Index / Drawing Tree</t>
  </si>
  <si>
    <t xml:space="preserve">An index of numbers is not technology; controlled if titles or structure reveal the design.</t>
  </si>
  <si>
    <t xml:space="preserve">Software Source Code</t>
  </si>
  <si>
    <t xml:space="preserve">Implementation</t>
  </si>
  <si>
    <t xml:space="preserve">Source code specially designed for a Munitions List item is controlled software; also an intangible-transfer risk (repositories, cloud).</t>
  </si>
  <si>
    <t xml:space="preserve">Firmware / FPGA / HDL Design</t>
  </si>
  <si>
    <t xml:space="preserve">ML21 / ML22 / 3E001</t>
  </si>
  <si>
    <t xml:space="preserve">HDL and firmware for controlled electronics is software and production technology.</t>
  </si>
  <si>
    <t xml:space="preserve">Software Version Description / Release Notes</t>
  </si>
  <si>
    <t xml:space="preserve">ML21</t>
  </si>
  <si>
    <t xml:space="preserve">Controlled when it describes functions, fixes or performance of controlled software; a bare version list is not.</t>
  </si>
  <si>
    <t xml:space="preserve">Firmware Load / Programming Procedure</t>
  </si>
  <si>
    <t xml:space="preserve">'Use' technology (operation, installation, maintenance) of a controlled item.</t>
  </si>
  <si>
    <t xml:space="preserve">Engineering Change Proposal (ECP)</t>
  </si>
  <si>
    <t xml:space="preserve">Describes a design change to a controlled item.</t>
  </si>
  <si>
    <t xml:space="preserve">Internal Technical Memo</t>
  </si>
  <si>
    <t xml:space="preserve">Controlled when it discusses controlled design or performance; classification follows content.</t>
  </si>
  <si>
    <t xml:space="preserve">Technical Meeting Minutes</t>
  </si>
  <si>
    <t xml:space="preserve">Controlled when they record design decisions or performance figures.</t>
  </si>
  <si>
    <t xml:space="preserve">Integration Plan</t>
  </si>
  <si>
    <t xml:space="preserve">Integration &amp; Verification</t>
  </si>
  <si>
    <t xml:space="preserve">Controlled when it describes interfaces and test set-ups of a controlled system in technical detail.</t>
  </si>
  <si>
    <t xml:space="preserve">System / Software Test Plan</t>
  </si>
  <si>
    <t xml:space="preserve">Controlled when it states test parameters, pass/fail limits or test signals of a controlled system.</t>
  </si>
  <si>
    <t xml:space="preserve">Acceptance Test Procedure (ATP)</t>
  </si>
  <si>
    <t xml:space="preserve">Contains pass/fail limits that disclose controlled performance parameters.</t>
  </si>
  <si>
    <t xml:space="preserve">Test Report / Test Results</t>
  </si>
  <si>
    <t xml:space="preserve">Measured performance of a controlled item is technology.</t>
  </si>
  <si>
    <t xml:space="preserve">Verification Cross Reference Matrix (VCRM)</t>
  </si>
  <si>
    <t xml:space="preserve">Controlled if it reproduces requirement text or results; an ID/method matrix is not.</t>
  </si>
  <si>
    <t xml:space="preserve">EMC / EMI Test Report</t>
  </si>
  <si>
    <t xml:space="preserve">Emission and susceptibility data reveal frequency plans and design of a controlled item.</t>
  </si>
  <si>
    <t xml:space="preserve">Environmental Qualification Test Report</t>
  </si>
  <si>
    <t xml:space="preserve">Mostly environmental levels (MIL-STD-810); controlled if it includes functional performance data of the item.</t>
  </si>
  <si>
    <t xml:space="preserve">Flight Test / Range Test Report</t>
  </si>
  <si>
    <t xml:space="preserve">ML22 / ML10 / ML11</t>
  </si>
  <si>
    <t xml:space="preserve">Records actual military performance in the operational environment.</t>
  </si>
  <si>
    <t xml:space="preserve">Calibration Procedure</t>
  </si>
  <si>
    <t xml:space="preserve">'Use' technology disclosing measurement limits and internal adjustment of a controlled item.</t>
  </si>
  <si>
    <t xml:space="preserve">Software Test Procedure</t>
  </si>
  <si>
    <t xml:space="preserve">Discloses functional behaviour and limits of controlled software.</t>
  </si>
  <si>
    <t xml:space="preserve">Airworthiness / Certification Documentation</t>
  </si>
  <si>
    <t xml:space="preserve">Validation &amp; Acceptance</t>
  </si>
  <si>
    <t xml:space="preserve">ML10 / ML22</t>
  </si>
  <si>
    <t xml:space="preserve">Controlled when it describes military system installation, functions or performance; generic process evidence is not.</t>
  </si>
  <si>
    <t xml:space="preserve">Certificate of Conformance (CoC)</t>
  </si>
  <si>
    <t xml:space="preserve">No</t>
  </si>
  <si>
    <t xml:space="preserve">n/a</t>
  </si>
  <si>
    <t xml:space="preserve">Administrative attestation; contains no technical data (the item it accompanies may be controlled hardware).</t>
  </si>
  <si>
    <t xml:space="preserve">Non-Conformance Report (NCR)</t>
  </si>
  <si>
    <t xml:space="preserve">Controlled when it describes the design, function or performance shortfall of a controlled item.</t>
  </si>
  <si>
    <t xml:space="preserve">Quality / Inspection Records</t>
  </si>
  <si>
    <t xml:space="preserve">Process evidence is not technology; controlled if measured performance values are recorded.</t>
  </si>
  <si>
    <t xml:space="preserve">Operator / User Manual</t>
  </si>
  <si>
    <t xml:space="preserve">Operations &amp; Support</t>
  </si>
  <si>
    <t xml:space="preserve">ML22 ('use' technology)</t>
  </si>
  <si>
    <t xml:space="preserve">Operation of a Munitions List item is 'use' technology.</t>
  </si>
  <si>
    <t xml:space="preserve">Maintenance / Technical Manual</t>
  </si>
  <si>
    <t xml:space="preserve">Maintenance, repair and overhaul information is 'use' technology.</t>
  </si>
  <si>
    <t xml:space="preserve">Installation Procedure</t>
  </si>
  <si>
    <t xml:space="preserve">Installation of a controlled item is 'use' technology when it discloses wiring, settings or interfaces; a purely mechanical fitting guide may be argued down.</t>
  </si>
  <si>
    <t xml:space="preserve">Training Material (technical)</t>
  </si>
  <si>
    <t xml:space="preserve">ML22 / ML14 / Services</t>
  </si>
  <si>
    <t xml:space="preserve">Training on a controlled item is both 'use' technology and a controlled 'service' under the NCAC Act.</t>
  </si>
  <si>
    <t xml:space="preserve">Mission Data / Threat Library File</t>
  </si>
  <si>
    <t xml:space="preserve">ML17 ('libraries') / ML11 / ML21</t>
  </si>
  <si>
    <t xml:space="preserve">Parametric databases for military systems are named in ML17; the most sensitive EW deliverable.</t>
  </si>
  <si>
    <t xml:space="preserve">Obsolescence Report</t>
  </si>
  <si>
    <t xml:space="preserve">Controlled when it identifies controlled components and their role in the design.</t>
  </si>
  <si>
    <t xml:space="preserve">Software User Manual</t>
  </si>
  <si>
    <t xml:space="preserve">'Use' technology for controlled software.</t>
  </si>
  <si>
    <t xml:space="preserve">Manufacturing / Production Work Instruction</t>
  </si>
  <si>
    <t xml:space="preserve">Production &amp; Manufacturing</t>
  </si>
  <si>
    <t xml:space="preserve">ML18 / ML22 ('production' technology)</t>
  </si>
  <si>
    <t xml:space="preserve">Production technology for Munitions List items is explicitly controlled.</t>
  </si>
  <si>
    <t xml:space="preserve">Process Specification (soldering, welding, coating)</t>
  </si>
  <si>
    <t xml:space="preserve">ML22 / 2E</t>
  </si>
  <si>
    <t xml:space="preserve">Generic industry processes (IPC, ISO) are public domain; controlled if tailored to a controlled item's special requirements.</t>
  </si>
  <si>
    <t xml:space="preserve">Test Jig / Production Test Equipment Design</t>
  </si>
  <si>
    <t xml:space="preserve">ML18 / ML22</t>
  </si>
  <si>
    <t xml:space="preserve">Specially designed production and test equipment for controlled items is ML18.</t>
  </si>
  <si>
    <t xml:space="preserve">Supplier / COTS Component Datasheet</t>
  </si>
  <si>
    <t xml:space="preserve">n/a (public domain)</t>
  </si>
  <si>
    <t xml:space="preserve">Published by the manufacturer without restriction — in the public domain. (The component itself may still need a Dual-Use permit to export.)</t>
  </si>
  <si>
    <t xml:space="preserve">Systems Engineering Management Plan (SEMP)</t>
  </si>
  <si>
    <t xml:space="preserve">Management &amp; Commercial</t>
  </si>
  <si>
    <t xml:space="preserve">A process plan is not technology; controlled only if it embeds requirements or design data.</t>
  </si>
  <si>
    <t xml:space="preserve">Programme management information is not 'technology' (no development, production or use information).</t>
  </si>
  <si>
    <t xml:space="preserve">Configuration Management Plan</t>
  </si>
  <si>
    <t xml:space="preserve">Process document; contains no technical data.</t>
  </si>
  <si>
    <t xml:space="preserve">Quality Management Plan / Quality Procedures</t>
  </si>
  <si>
    <t xml:space="preserve">Risk Management Plan / Risk Register</t>
  </si>
  <si>
    <t xml:space="preserve">Controlled when technical risks disclose design weaknesses or performance shortfalls.</t>
  </si>
  <si>
    <t xml:space="preserve">Administrative Meeting Minutes</t>
  </si>
  <si>
    <t xml:space="preserve">No technical content.</t>
  </si>
  <si>
    <t xml:space="preserve">Marketing Brochure (generic capability)</t>
  </si>
  <si>
    <t xml:space="preserve">ML22 / NCAC Act 'marketing'</t>
  </si>
  <si>
    <t xml:space="preserve">A capability statement without parameters is not technology, BUT marketing conventional arms itself requires an NCACC marketing permit (s13/s14).</t>
  </si>
  <si>
    <t xml:space="preserve">Marketing Datasheet (with performance parameters)</t>
  </si>
  <si>
    <t xml:space="preserve">Performance figures are technology; release abroad needs a marketing permit.</t>
  </si>
  <si>
    <t xml:space="preserve">Proposal / Tender — Technical Volume</t>
  </si>
  <si>
    <t xml:space="preserve">ML22 / NCAC Act 'marketing' &amp; 'contracting'</t>
  </si>
  <si>
    <t xml:space="preserve">Describes the offered military system's design and performance.</t>
  </si>
  <si>
    <t xml:space="preserve">Proposal / Tender — Commercial Volume (pricing)</t>
  </si>
  <si>
    <t xml:space="preserve">n/a (permit still needed to tender abroad)</t>
  </si>
  <si>
    <t xml:space="preserve">Pricing and terms are not technology; note the tender itself is 'marketing' under the NCAC Act.</t>
  </si>
  <si>
    <t xml:space="preserve">Contract / Statement of Work (SOW)</t>
  </si>
  <si>
    <t xml:space="preserve">ML22 / NCAC Act 'contracting'</t>
  </si>
  <si>
    <t xml:space="preserve">Controlled when the SOW embeds specifications; commercial clauses are not technology.</t>
  </si>
  <si>
    <t xml:space="preserve">Purchase Order</t>
  </si>
  <si>
    <t xml:space="preserve">Commercial document; no technology.</t>
  </si>
  <si>
    <t xml:space="preserve">Non-Disclosure Agreement (NDA)</t>
  </si>
  <si>
    <t xml:space="preserve">Legal instrument; no technology.</t>
  </si>
  <si>
    <t xml:space="preserve">Export / Marketing Permit Application</t>
  </si>
  <si>
    <t xml:space="preserve">Contains item descriptions for the NCACC; controlled if technical parameters are attached.</t>
  </si>
  <si>
    <t xml:space="preserve">End-User Certificate / Shipping Documents</t>
  </si>
  <si>
    <t xml:space="preserve">Administrative; item names only.</t>
  </si>
  <si>
    <t xml:space="preserve">Patent Application</t>
  </si>
  <si>
    <t xml:space="preserve">ML22 (GTN patent exemption)</t>
  </si>
  <si>
    <t xml:space="preserve">The minimum information needed for the patent application is exempt (GTN), but must still go through pre-publication export review.</t>
  </si>
  <si>
    <t xml:space="preserve">Academic / Conference Paper</t>
  </si>
  <si>
    <t xml:space="preserve">ML22 (GTN public domain / basic research)</t>
  </si>
  <si>
    <t xml:space="preserve">Becomes public domain only once lawfully published; pre-publication review is mandatory — publishing controlled technology is itself an export.</t>
  </si>
  <si>
    <t xml:space="preserve">Company Policies / HR / Finance Documents</t>
  </si>
  <si>
    <t xml:space="preserve">No technology.</t>
  </si>
  <si>
    <t xml:space="preserve">Legend: Yes = controlled by nature of the document type; No = not controlled unless the scope text shows 2+ controlled terms; Depends = decided by the scope text (1+ controlled term = YES). Add or edit rows here to tune the tool — the Classify dropdown reads this column A range.</t>
  </si>
  <si>
    <t xml:space="preserve">Controlled technical keyword  (case-insensitive, substring match)</t>
  </si>
  <si>
    <t xml:space="preserve">Control-list entry indicated</t>
  </si>
  <si>
    <t xml:space="preserve">Group</t>
  </si>
  <si>
    <t xml:space="preserve">Hit in current scope text  (auto)</t>
  </si>
  <si>
    <t xml:space="preserve">Entry if hit  (auto)</t>
  </si>
  <si>
    <t xml:space="preserve">Running list of hits  (auto)</t>
  </si>
  <si>
    <t xml:space="preserve">Running list of entries  (auto)</t>
  </si>
  <si>
    <t xml:space="preserve">jammer</t>
  </si>
  <si>
    <t xml:space="preserve">ML11</t>
  </si>
  <si>
    <t xml:space="preserve">EW</t>
  </si>
  <si>
    <t xml:space="preserve">jamming</t>
  </si>
  <si>
    <t xml:space="preserve">ECM</t>
  </si>
  <si>
    <t xml:space="preserve">ECCM</t>
  </si>
  <si>
    <t xml:space="preserve">ESM</t>
  </si>
  <si>
    <t xml:space="preserve">ELINT</t>
  </si>
  <si>
    <t xml:space="preserve">COMINT</t>
  </si>
  <si>
    <t xml:space="preserve">SIGINT</t>
  </si>
  <si>
    <t xml:space="preserve">electronic warfare</t>
  </si>
  <si>
    <t xml:space="preserve">electronic attack</t>
  </si>
  <si>
    <t xml:space="preserve">electronic support</t>
  </si>
  <si>
    <t xml:space="preserve">radar warning</t>
  </si>
  <si>
    <t xml:space="preserve">RWR</t>
  </si>
  <si>
    <t xml:space="preserve">DRFM</t>
  </si>
  <si>
    <t xml:space="preserve">emitter</t>
  </si>
  <si>
    <t xml:space="preserve">threat library</t>
  </si>
  <si>
    <t xml:space="preserve">ML17 / ML11</t>
  </si>
  <si>
    <t xml:space="preserve">mission data</t>
  </si>
  <si>
    <t xml:space="preserve">ML17 / ML21</t>
  </si>
  <si>
    <t xml:space="preserve">deinterleav</t>
  </si>
  <si>
    <t xml:space="preserve">pulse descriptor</t>
  </si>
  <si>
    <t xml:space="preserve">PDW</t>
  </si>
  <si>
    <t xml:space="preserve">direction finding</t>
  </si>
  <si>
    <t xml:space="preserve">interferometer</t>
  </si>
  <si>
    <t xml:space="preserve">ML11 / 6A008</t>
  </si>
  <si>
    <t xml:space="preserve">wideband receiver</t>
  </si>
  <si>
    <t xml:space="preserve">ML11 / 3A001</t>
  </si>
  <si>
    <t xml:space="preserve">frequency hopping</t>
  </si>
  <si>
    <t xml:space="preserve">ML11 / 5A001</t>
  </si>
  <si>
    <t xml:space="preserve">spread spectrum</t>
  </si>
  <si>
    <t xml:space="preserve">anti-jam</t>
  </si>
  <si>
    <t xml:space="preserve">ML11 / 7A005</t>
  </si>
  <si>
    <t xml:space="preserve">chaff</t>
  </si>
  <si>
    <t xml:space="preserve">ML4 / ML15</t>
  </si>
  <si>
    <t xml:space="preserve">flare</t>
  </si>
  <si>
    <t xml:space="preserve">decoy</t>
  </si>
  <si>
    <t xml:space="preserve">ML4 / ML11</t>
  </si>
  <si>
    <t xml:space="preserve">towed decoy</t>
  </si>
  <si>
    <t xml:space="preserve">MAWS</t>
  </si>
  <si>
    <t xml:space="preserve">ML5 / ML11</t>
  </si>
  <si>
    <t xml:space="preserve">missile approach warning</t>
  </si>
  <si>
    <t xml:space="preserve">DIRCM</t>
  </si>
  <si>
    <t xml:space="preserve">ML15 / ML19</t>
  </si>
  <si>
    <t xml:space="preserve">laser warning</t>
  </si>
  <si>
    <t xml:space="preserve">ML5 / ML15</t>
  </si>
  <si>
    <t xml:space="preserve">infrared countermeasure</t>
  </si>
  <si>
    <t xml:space="preserve">ML15</t>
  </si>
  <si>
    <t xml:space="preserve">IR countermeasure</t>
  </si>
  <si>
    <t xml:space="preserve">countermeasure</t>
  </si>
  <si>
    <t xml:space="preserve">ML11 / ML15</t>
  </si>
  <si>
    <t xml:space="preserve">radar cross section</t>
  </si>
  <si>
    <t xml:space="preserve">ML17 / ML22</t>
  </si>
  <si>
    <t xml:space="preserve">Signature</t>
  </si>
  <si>
    <t xml:space="preserve">RCS</t>
  </si>
  <si>
    <t xml:space="preserve">stealth</t>
  </si>
  <si>
    <t xml:space="preserve">ML17</t>
  </si>
  <si>
    <t xml:space="preserve">signature reduction</t>
  </si>
  <si>
    <t xml:space="preserve">low observable</t>
  </si>
  <si>
    <t xml:space="preserve">phased array</t>
  </si>
  <si>
    <t xml:space="preserve">RF/Radar</t>
  </si>
  <si>
    <t xml:space="preserve">AESA</t>
  </si>
  <si>
    <t xml:space="preserve">transmit/receive module</t>
  </si>
  <si>
    <t xml:space="preserve">T/R module</t>
  </si>
  <si>
    <t xml:space="preserve">GaN</t>
  </si>
  <si>
    <t xml:space="preserve">3A001</t>
  </si>
  <si>
    <t xml:space="preserve">MMIC</t>
  </si>
  <si>
    <t xml:space="preserve">high power amplifier</t>
  </si>
  <si>
    <t xml:space="preserve">HPA</t>
  </si>
  <si>
    <t xml:space="preserve">travelling wave tube</t>
  </si>
  <si>
    <t xml:space="preserve">TWT</t>
  </si>
  <si>
    <t xml:space="preserve">low noise amplifier</t>
  </si>
  <si>
    <t xml:space="preserve">LNA</t>
  </si>
  <si>
    <t xml:space="preserve">radar</t>
  </si>
  <si>
    <t xml:space="preserve">SAR</t>
  </si>
  <si>
    <t xml:space="preserve">6A008</t>
  </si>
  <si>
    <t xml:space="preserve">synthetic aperture</t>
  </si>
  <si>
    <t xml:space="preserve">IFF</t>
  </si>
  <si>
    <t xml:space="preserve">Link 16</t>
  </si>
  <si>
    <t xml:space="preserve">tactical data link</t>
  </si>
  <si>
    <t xml:space="preserve">ERP</t>
  </si>
  <si>
    <t xml:space="preserve">effective radiated power</t>
  </si>
  <si>
    <t xml:space="preserve">dBm</t>
  </si>
  <si>
    <t xml:space="preserve">J/S</t>
  </si>
  <si>
    <t xml:space="preserve">jamming-to-signal</t>
  </si>
  <si>
    <t xml:space="preserve">sensitivity</t>
  </si>
  <si>
    <t xml:space="preserve">dynamic range</t>
  </si>
  <si>
    <t xml:space="preserve">ADC</t>
  </si>
  <si>
    <t xml:space="preserve">analogue-to-digital</t>
  </si>
  <si>
    <t xml:space="preserve">analog-to-digital</t>
  </si>
  <si>
    <t xml:space="preserve">sampling rate</t>
  </si>
  <si>
    <t xml:space="preserve">GHz</t>
  </si>
  <si>
    <t xml:space="preserve">source code</t>
  </si>
  <si>
    <t xml:space="preserve">Software</t>
  </si>
  <si>
    <t xml:space="preserve">firmware</t>
  </si>
  <si>
    <t xml:space="preserve">FPGA</t>
  </si>
  <si>
    <t xml:space="preserve">ML21 / 3A001</t>
  </si>
  <si>
    <t xml:space="preserve">HDL</t>
  </si>
  <si>
    <t xml:space="preserve">VHDL</t>
  </si>
  <si>
    <t xml:space="preserve">algorithm</t>
  </si>
  <si>
    <t xml:space="preserve">encryption</t>
  </si>
  <si>
    <t xml:space="preserve">5A002 / ML11</t>
  </si>
  <si>
    <t xml:space="preserve">Security</t>
  </si>
  <si>
    <t xml:space="preserve">cryptograph</t>
  </si>
  <si>
    <t xml:space="preserve">crypto</t>
  </si>
  <si>
    <t xml:space="preserve">TEMPEST</t>
  </si>
  <si>
    <t xml:space="preserve">key management</t>
  </si>
  <si>
    <t xml:space="preserve">5A002</t>
  </si>
  <si>
    <t xml:space="preserve">GPS anti-jam</t>
  </si>
  <si>
    <t xml:space="preserve">7A005</t>
  </si>
  <si>
    <t xml:space="preserve">Nav/Avionics</t>
  </si>
  <si>
    <t xml:space="preserve">CRPA</t>
  </si>
  <si>
    <t xml:space="preserve">inertial navigation</t>
  </si>
  <si>
    <t xml:space="preserve">7A003</t>
  </si>
  <si>
    <t xml:space="preserve">IMU</t>
  </si>
  <si>
    <t xml:space="preserve">INS</t>
  </si>
  <si>
    <t xml:space="preserve">gyro</t>
  </si>
  <si>
    <t xml:space="preserve">7A002</t>
  </si>
  <si>
    <t xml:space="preserve">MIL-STD-1553</t>
  </si>
  <si>
    <t xml:space="preserve">mission computer</t>
  </si>
  <si>
    <t xml:space="preserve">ML10 / ML11</t>
  </si>
  <si>
    <t xml:space="preserve">stores management</t>
  </si>
  <si>
    <t xml:space="preserve">ML5 / ML10</t>
  </si>
  <si>
    <t xml:space="preserve">weapon release</t>
  </si>
  <si>
    <t xml:space="preserve">flight control</t>
  </si>
  <si>
    <t xml:space="preserve">ML10 / 7E004</t>
  </si>
  <si>
    <t xml:space="preserve">pylon</t>
  </si>
  <si>
    <t xml:space="preserve">ML10</t>
  </si>
  <si>
    <t xml:space="preserve">avionic</t>
  </si>
  <si>
    <t xml:space="preserve">UAV</t>
  </si>
  <si>
    <t xml:space="preserve">ML10 / 9A012</t>
  </si>
  <si>
    <t xml:space="preserve">unmanned aerial</t>
  </si>
  <si>
    <t xml:space="preserve">fire control</t>
  </si>
  <si>
    <t xml:space="preserve">ML5</t>
  </si>
  <si>
    <t xml:space="preserve">Weapons/EO</t>
  </si>
  <si>
    <t xml:space="preserve">target acquisition</t>
  </si>
  <si>
    <t xml:space="preserve">targeting pod</t>
  </si>
  <si>
    <t xml:space="preserve">missile</t>
  </si>
  <si>
    <t xml:space="preserve">ML4</t>
  </si>
  <si>
    <t xml:space="preserve">seeker</t>
  </si>
  <si>
    <t xml:space="preserve">fuze</t>
  </si>
  <si>
    <t xml:space="preserve">ML3 / ML4</t>
  </si>
  <si>
    <t xml:space="preserve">warhead</t>
  </si>
  <si>
    <t xml:space="preserve">munition</t>
  </si>
  <si>
    <t xml:space="preserve">ammunition</t>
  </si>
  <si>
    <t xml:space="preserve">ML3</t>
  </si>
  <si>
    <t xml:space="preserve">gun</t>
  </si>
  <si>
    <t xml:space="preserve">ML1 / ML2</t>
  </si>
  <si>
    <t xml:space="preserve">cannon</t>
  </si>
  <si>
    <t xml:space="preserve">ML2</t>
  </si>
  <si>
    <t xml:space="preserve">rifle</t>
  </si>
  <si>
    <t xml:space="preserve">ML1</t>
  </si>
  <si>
    <t xml:space="preserve">armour</t>
  </si>
  <si>
    <t xml:space="preserve">ML13</t>
  </si>
  <si>
    <t xml:space="preserve">armor</t>
  </si>
  <si>
    <t xml:space="preserve">ballistic</t>
  </si>
  <si>
    <t xml:space="preserve">ML13 / ML3</t>
  </si>
  <si>
    <t xml:space="preserve">night vision</t>
  </si>
  <si>
    <t xml:space="preserve">ML15 / 6A002</t>
  </si>
  <si>
    <t xml:space="preserve">image intensifier</t>
  </si>
  <si>
    <t xml:space="preserve">thermal imager</t>
  </si>
  <si>
    <t xml:space="preserve">ML15 / 6A003</t>
  </si>
  <si>
    <t xml:space="preserve">FLIR</t>
  </si>
  <si>
    <t xml:space="preserve">EO/IR</t>
  </si>
  <si>
    <t xml:space="preserve">laser designator</t>
  </si>
  <si>
    <t xml:space="preserve">ML5 / ML15 / 6A005</t>
  </si>
  <si>
    <t xml:space="preserve">laser rangefinder</t>
  </si>
  <si>
    <t xml:space="preserve">ML5 / 6A005</t>
  </si>
  <si>
    <t xml:space="preserve">directed energy</t>
  </si>
  <si>
    <t xml:space="preserve">ML19</t>
  </si>
  <si>
    <t xml:space="preserve">high energy laser</t>
  </si>
  <si>
    <t xml:space="preserve">ML19 / 6A005</t>
  </si>
  <si>
    <t xml:space="preserve">military</t>
  </si>
  <si>
    <t xml:space="preserve">ML (specially designed for military use)</t>
  </si>
  <si>
    <t xml:space="preserve">Context</t>
  </si>
  <si>
    <t xml:space="preserve">combat</t>
  </si>
  <si>
    <t xml:space="preserve">ML</t>
  </si>
  <si>
    <t xml:space="preserve">SANDF</t>
  </si>
  <si>
    <t xml:space="preserve">air force</t>
  </si>
  <si>
    <t xml:space="preserve">fighter</t>
  </si>
  <si>
    <t xml:space="preserve">helicopter</t>
  </si>
  <si>
    <t xml:space="preserve">warship</t>
  </si>
  <si>
    <t xml:space="preserve">ML9</t>
  </si>
  <si>
    <t xml:space="preserve">frigate</t>
  </si>
  <si>
    <t xml:space="preserve">armoured vehicle</t>
  </si>
  <si>
    <t xml:space="preserve">ML6</t>
  </si>
  <si>
    <t xml:space="preserve">MIL-STD</t>
  </si>
  <si>
    <t xml:space="preserve">ML22 (military specification)</t>
  </si>
  <si>
    <t xml:space="preserve">classified</t>
  </si>
  <si>
    <t xml:space="preserve">ML22 / national security</t>
  </si>
  <si>
    <t xml:space="preserve">SECRET</t>
  </si>
  <si>
    <t xml:space="preserve">national security</t>
  </si>
  <si>
    <t xml:space="preserve">CONFIDENTIAL</t>
  </si>
  <si>
    <t xml:space="preserve">Blue = editable list. Add a keyword in column A (and copy the formulas in D, E, F and G down — the Classify tab reads the LAST row of F and G). Short tokens (ADC, INS, SAR, ERP, gun) can produce false hits — the author notes any false hit in the Register; the Export Control Officer may then override.</t>
  </si>
  <si>
    <t xml:space="preserve">ID</t>
  </si>
  <si>
    <t xml:space="preserve">Mitigation ground</t>
  </si>
  <si>
    <t xml:space="preserve">Rule code</t>
  </si>
  <si>
    <t xml:space="preserve">Base outcome</t>
  </si>
  <si>
    <t xml:space="preserve">Reason given when ACCEPTED</t>
  </si>
  <si>
    <t xml:space="preserve">Reason given when CONDITIONAL</t>
  </si>
  <si>
    <t xml:space="preserve">Reason given when REJECTED</t>
  </si>
  <si>
    <t xml:space="preserve">Legal source</t>
  </si>
  <si>
    <t xml:space="preserve">Fact-base tab</t>
  </si>
  <si>
    <t xml:space="preserve">Information is already 'in the public domain' (published by a third party without restriction)</t>
  </si>
  <si>
    <t xml:space="preserve">EVIDENCE</t>
  </si>
  <si>
    <t xml:space="preserve">CONDITIONAL</t>
  </si>
  <si>
    <t xml:space="preserve">Wassenaar General Technology Note: controls on 'technology' do not apply to information 'in the public domain'. The evidence reference shows the same information was made available without restriction on further dissemination. Copyright restrictions do not remove information from the public domain. CAUTION: the company's own unpermitted publication cannot be used to 'launder' controlled technology — the publisher must be a third party or the publication must have had NCACC approval.</t>
  </si>
  <si>
    <t xml:space="preserve">The ground is valid in principle, but no evidence reference was given. Cite the publication (title, date, URL/ISBN/standard number) that already contains this information without dissemination restrictions. Until then the document REMAINS Export Controlled.</t>
  </si>
  <si>
    <t xml:space="preserve">Ground not applicable.</t>
  </si>
  <si>
    <t xml:space="preserve">Wassenaar GTN; Definitions 'in the public domain'</t>
  </si>
  <si>
    <t xml:space="preserve">Definitions</t>
  </si>
  <si>
    <t xml:space="preserve">Content is 'basic scientific research' (fundamental principles, not aimed at a product)</t>
  </si>
  <si>
    <t xml:space="preserve">NOTPRODUCT</t>
  </si>
  <si>
    <t xml:space="preserve">Ground accepted.</t>
  </si>
  <si>
    <t xml:space="preserve">Wassenaar GTN exempts 'basic scientific research': experimental or theoretical work undertaken principally to acquire new knowledge of fundamental principles, not primarily directed towards a specific practical aim. The Export Control Officer must confirm the document is not directed at any product, system or LRU.</t>
  </si>
  <si>
    <t xml:space="preserve">The document type is inherently product-specific (default classification YES). Work directed at the development, production or use of a specific system or LRU is by definition NOT 'basic scientific research'.</t>
  </si>
  <si>
    <t xml:space="preserve">Wassenaar GTN; Definitions 'basic scientific research'</t>
  </si>
  <si>
    <t xml:space="preserve">Document is the minimum information necessary for a patent application</t>
  </si>
  <si>
    <t xml:space="preserve">REVIEW</t>
  </si>
  <si>
    <t xml:space="preserve">The GTN exempts only 'the minimum necessary information for patent applications'. The Export Control Officer must confirm this document IS the patent application text and contains nothing beyond that minimum. Supporting design documents, test data and drawings are NOT covered by this exemption.</t>
  </si>
  <si>
    <t xml:space="preserve">Wassenaar GTN (patent exemption)</t>
  </si>
  <si>
    <t xml:space="preserve">Document contains no technical data — administrative, process or quality content only</t>
  </si>
  <si>
    <t xml:space="preserve">NOHITS</t>
  </si>
  <si>
    <t xml:space="preserve">ACCEPTED</t>
  </si>
  <si>
    <t xml:space="preserve">No controlled keywords were found in the scope text and the document type is not inherently technical. 'Technology' (Wassenaar; NCAC Act s1) means specific information necessary for the development, production or use of a controlled item; purely administrative, process or quality content is not technology.</t>
  </si>
  <si>
    <t xml:space="preserve">Ground conditional.</t>
  </si>
  <si>
    <t xml:space="preserve">The claim contradicts the document itself: either the document type is inherently technical (default YES) or the scope text contains controlled technical terms. Remove all technical data (sanitise) and re-classify the sanitised version as a NEW document number (see ground 15).</t>
  </si>
  <si>
    <t xml:space="preserve">Wassenaar Definitions 'technology'; NCAC Act s1</t>
  </si>
  <si>
    <t xml:space="preserve">Technology is not 'required' — parameters are below the control-list threshold / generic engineering</t>
  </si>
  <si>
    <t xml:space="preserve">Wassenaar 'required' technology is only that portion peculiarly responsible for achieving or exceeding the controlled performance levels. The Export Control Officer must compare the document's parameters against the specific ML / Dual-Use entry cited by the author (Wassenaar_ML and Wassenaar_DualUse tabs). NOTE: Munitions List entries generally have NO performance threshold — an item 'specially designed for military use' is controlled regardless of performance; thresholds only exist in the Dual-Use List.</t>
  </si>
  <si>
    <t xml:space="preserve">Wassenaar Definitions 'required'; ML/DU entry thresholds</t>
  </si>
  <si>
    <t xml:space="preserve">Wassenaar_DualUse</t>
  </si>
  <si>
    <t xml:space="preserve">Content is COTS / 'generally available' software (General Software Note)</t>
  </si>
  <si>
    <t xml:space="preserve">General Software Note: software generally available to the public (sold from stock at retail, installable by the user without substantial supplier support) or 'in the public domain' is not controlled. This exempts ONLY the COTS product itself — never the company's integration, configuration, mission-specific or embedded software for a military system (ML21). The Export Control Officer must confirm the document contains only the COTS content.</t>
  </si>
  <si>
    <t xml:space="preserve">Wassenaar GSN</t>
  </si>
  <si>
    <t xml:space="preserve">Recipient is a South African company / citizen inside South Africa</t>
  </si>
  <si>
    <t xml:space="preserve">NONE</t>
  </si>
  <si>
    <t xml:space="preserve">REJECTED</t>
  </si>
  <si>
    <t xml:space="preserve">Classification describes the DOCUMENT, not the recipient. A controlled document stays controlled inside South Africa; only the permit requirement changes at the moment of transfer — including transfer to a foreign national on-site, by e-mail, cloud share or remote support (intangible technology transfer). Irrelevant to classification.</t>
  </si>
  <si>
    <t xml:space="preserve">NCAC Act s13, s14; Wassenaar ITT Best Practices</t>
  </si>
  <si>
    <t xml:space="preserve">SA_Law</t>
  </si>
  <si>
    <t xml:space="preserve">Customer is an allied / friendly government (NATO, EU, SADC)</t>
  </si>
  <si>
    <t xml:space="preserve">Destination never changes classification. Destination is one of the NCACC's section 15 criteria when deciding whether to GRANT a permit — a permit is still required for every transfer.</t>
  </si>
  <si>
    <t xml:space="preserve">NCAC Act s13, s15</t>
  </si>
  <si>
    <t xml:space="preserve">A marketing / contracting / export permit already exists for this programme</t>
  </si>
  <si>
    <t xml:space="preserve">A permit AUTHORISES a specific controlled transfer under conditions (s14); it does not declassify the document. Controlled + permitted is not the same as not controlled. Each transfer must fall within the permit's scope and conditions.</t>
  </si>
  <si>
    <t xml:space="preserve">NCAC Act s14(2)</t>
  </si>
  <si>
    <t xml:space="preserve">Document is an internal draft / not intended for release</t>
  </si>
  <si>
    <t xml:space="preserve">Classification is content-based; intent is irrelevant. Drafts must carry the marking so that access by foreign nationals, external e-mail, cloud storage, offshore backups or remote support (intangible technology transfer) is prevented.</t>
  </si>
  <si>
    <t xml:space="preserve">NCAC Act s1 'technology', s13; Wassenaar ITT Best Practices</t>
  </si>
  <si>
    <t xml:space="preserve">Content is purely commercial (pricing, terms, schedule) with no technical data</t>
  </si>
  <si>
    <t xml:space="preserve">No controlled keywords were found in the scope text and the document type is not inherently technical. Pricing, commercial terms and schedules are not 'technology'. NOTE: offering or tendering conventional arms abroad is 'marketing' under the NCAC Act and needs its own permit even though the document is not controlled.</t>
  </si>
  <si>
    <t xml:space="preserve">The claim contradicts the document itself: either the document type is inherently technical (default YES) or the scope text contains controlled technical terms. Move technical content to a separate, controlled annex and re-classify the commercial-only version as a NEW document.</t>
  </si>
  <si>
    <t xml:space="preserve">Wassenaar Definitions 'technology'; NCAC Act s1 'marketing'</t>
  </si>
  <si>
    <t xml:space="preserve">Technology is civil / dual-use only — no military application</t>
  </si>
  <si>
    <t xml:space="preserve">'Not military' does not mean 'not controlled'. Dual-use items and their technology are controlled goods under the Non-Proliferation of Weapons of Mass Destruction Act 87 of 1993 (NPC) per the Wassenaar Dual-Use List (e.g. 3A001, 5A001, 5A002, 6A008, 7A003, 9A012). Re-classify as DUAL-USE CONTROLLED and route to the NPC permit process — see Wassenaar_DualUse tab.</t>
  </si>
  <si>
    <t xml:space="preserve">Non-Proliferation Act 87/1993 s13; Wassenaar Dual-Use List</t>
  </si>
  <si>
    <t xml:space="preserve">Technology is legacy / obsolete (decades old)</t>
  </si>
  <si>
    <t xml:space="preserve">Age is not a criterion in the Wassenaar lists or the NCAC Act. Obsolete military technology remains ML22 'technology' unless it is in the public domain — use ground 1 WITH an evidence reference instead.</t>
  </si>
  <si>
    <t xml:space="preserve">Wassenaar ML22; GTN</t>
  </si>
  <si>
    <t xml:space="preserve">Wassenaar_ML</t>
  </si>
  <si>
    <t xml:space="preserve">ICD / drawing is form-fit only (mechanical envelope, connector type) with no signal, protocol or performance data</t>
  </si>
  <si>
    <t xml:space="preserve">Purely physical interface data (mounting, envelope, mass, connector part number) without functional, signal, protocol, timing or performance content is generally not 'required' technology. The Export Control Officer must confirm the document has NO signal definitions, message formats, pin functions, timing or performance parameters.</t>
  </si>
  <si>
    <t xml:space="preserve">Wassenaar Definitions 'required', 'technology'</t>
  </si>
  <si>
    <t xml:space="preserve">This is a sanitised export version — all controlled parameters removed</t>
  </si>
  <si>
    <t xml:space="preserve">A sanitised version can be NOT EXPORT CONTROLLED only if every controlled parameter, algorithm, drawing detail and performance figure has been removed and the Export Control Officer verifies this line by line. Issue the sanitised version under a NEW document number; the original remains Export Controlled.</t>
  </si>
  <si>
    <t xml:space="preserve">Wassenaar Definitions 'technology', 'required'</t>
  </si>
  <si>
    <t xml:space="preserve">Content is generic engineering knowledge found in standard textbooks / university curricula</t>
  </si>
  <si>
    <t xml:space="preserve">Generic engineering principles that appear in standard textbooks, open standards or university curricula are 'in the public domain' (Wassenaar GTN). The cited reference demonstrates this. Ensure the document adds no system-specific parameters or design choices beyond the cited source.</t>
  </si>
  <si>
    <t xml:space="preserve">Cite the textbook, open standard (e.g. IEEE, IPC, ISO) or curriculum reference that contains this content. Without a reference the ground cannot be verified and the document REMAINS Export Controlled.</t>
  </si>
  <si>
    <t xml:space="preserve">How the Mitigation tab decides</t>
  </si>
  <si>
    <t xml:space="preserve">ACCEPTED if an evidence reference is given in column E, otherwise CONDITIONAL.</t>
  </si>
  <si>
    <t xml:space="preserve">REJECTED if the document type is by default 'Yes' or the scope text contains any controlled keyword; otherwise ACCEPTED.</t>
  </si>
  <si>
    <t xml:space="preserve">REJECTED if the document type is by default 'Yes' (product-specific); otherwise CONDITIONAL (ECO confirms).</t>
  </si>
  <si>
    <t xml:space="preserve">Always CONDITIONAL — the Export Control Officer must perform the check described.</t>
  </si>
  <si>
    <t xml:space="preserve">Base outcome applies as written (used for grounds that are always REJECTED).</t>
  </si>
  <si>
    <t xml:space="preserve">(all)</t>
  </si>
  <si>
    <t xml:space="preserve">INCOMPLETE if the author's justification (column D) is empty.</t>
  </si>
  <si>
    <t xml:space="preserve">WASSENAAR MUNITIONS LIST — categories ML1 to ML22  (source: WA-LIST (25) 1 Corr.; SA implementation: Controlled Items Schedule GN 321, GG 35272, 20 Apr 2012 — permit authority NCACC)</t>
  </si>
  <si>
    <t xml:space="preserve">Entry</t>
  </si>
  <si>
    <t xml:space="preserve">Scope of the entry (summary of the heading text)</t>
  </si>
  <si>
    <t xml:space="preserve">Relevance to an EW / military-aviation design house</t>
  </si>
  <si>
    <t xml:space="preserve">Typical company documents that fall under it</t>
  </si>
  <si>
    <t xml:space="preserve">Smooth-bore weapons with a calibre of less than 20 mm, other arms and automatic weapons with a calibre of 12.7 mm or less and accessories, and specially designed components.</t>
  </si>
  <si>
    <t xml:space="preserve">Low</t>
  </si>
  <si>
    <t xml:space="preserve">Firearm integration on platforms; also falls under the Firearms Control Act.</t>
  </si>
  <si>
    <t xml:space="preserve">Smooth-bore weapons with a calibre of 20 mm or more, other weapons or armament with a calibre greater than 12.7 mm, projectors and accessories, and specially designed components.</t>
  </si>
  <si>
    <t xml:space="preserve">Gun/turret integration, ICDs with weapon systems.</t>
  </si>
  <si>
    <t xml:space="preserve">Ammunition and fuze setting devices, and specially designed components.</t>
  </si>
  <si>
    <t xml:space="preserve">Fuze-setting interfaces in stores management.</t>
  </si>
  <si>
    <t xml:space="preserve">Bombs, torpedoes, rockets, missiles, other explosive devices and charges and related equipment and accessories, and specially designed components.</t>
  </si>
  <si>
    <t xml:space="preserve">Medium</t>
  </si>
  <si>
    <t xml:space="preserve">Missile seekers, decoys, chaff/flare dispensers, weapon ICDs.</t>
  </si>
  <si>
    <t xml:space="preserve">Fire control, and related alerting and warning equipment, and related systems, test and alignment and countermeasure equipment, specially designed for military use, and specially designed components and accessories.</t>
  </si>
  <si>
    <t xml:space="preserve">High</t>
  </si>
  <si>
    <t xml:space="preserve">Missile/laser warning systems, target acquisition, fire-control ICDs, test equipment.</t>
  </si>
  <si>
    <t xml:space="preserve">Ground vehicles and components.</t>
  </si>
  <si>
    <t xml:space="preserve">Vehicle-mounted EW / C2 installations.</t>
  </si>
  <si>
    <t xml:space="preserve">ML7</t>
  </si>
  <si>
    <t xml:space="preserve">Chemical or biological toxic agents, 'riot control agents', radioactive materials, related equipment, components and materials.</t>
  </si>
  <si>
    <t xml:space="preserve">Not typical.</t>
  </si>
  <si>
    <t xml:space="preserve">ML8</t>
  </si>
  <si>
    <t xml:space="preserve">'Energetic materials', and related substances.</t>
  </si>
  <si>
    <t xml:space="preserve">Pyrotechnic flares/cartridges only.</t>
  </si>
  <si>
    <t xml:space="preserve">Vessels of war (surface or underwater), special naval equipment, accessories, components and other surface vessels.</t>
  </si>
  <si>
    <t xml:space="preserve">Naval EW suites, shipboard installations.</t>
  </si>
  <si>
    <t xml:space="preserve">'Aircraft', 'lighter-than-air vehicles', 'Unmanned Aerial Vehicles' ('UAVs'), aero-engines and 'aircraft' equipment, related equipment, and components, specially designed or modified for military use.</t>
  </si>
  <si>
    <t xml:space="preserve">Military aircraft LRUs, avionics, mission computers, pods, pylons, UAV payloads, aircraft-integration ICDs, flight test reports.</t>
  </si>
  <si>
    <t xml:space="preserve">Electronic equipment, 'spacecraft' and components, not specified elsewhere on the Munitions List — includes ECM/ECCM equipment, jamming and counter-jamming, frequency-agile and spread-spectrum military communications, electronic countermeasure and support equipment, signals-intelligence demodulators, automated C2 systems, guidance and navigation equipment specially designed for military use.</t>
  </si>
  <si>
    <t xml:space="preserve">THE core entry for an EW house: jammers, RWR/ESM/ELINT receivers, DRFM, DF systems, EW controllers, secure tactical comms, IFF, data links, EW test equipment.</t>
  </si>
  <si>
    <t xml:space="preserve">ML12</t>
  </si>
  <si>
    <t xml:space="preserve">High velocity kinetic energy weapon systems and related equipment.</t>
  </si>
  <si>
    <t xml:space="preserve">Armoured or protective equipment, constructions and components.</t>
  </si>
  <si>
    <t xml:space="preserve">Body armour, ballistic protection (also in the SA 'Dual Use' schedule).</t>
  </si>
  <si>
    <t xml:space="preserve">ML14</t>
  </si>
  <si>
    <t xml:space="preserve">'Specialised equipment for military training' or for simulating military scenarios, simulators specially designed for training in the use of any firearm or weapon specified by ML1 or ML2, and specially designed components and accessories.</t>
  </si>
  <si>
    <t xml:space="preserve">EW simulators, threat simulators, training systems and courseware.</t>
  </si>
  <si>
    <t xml:space="preserve">Imaging or countermeasure equipment, specially designed for military use, and specially designed components and accessories.</t>
  </si>
  <si>
    <t xml:space="preserve">EO/IR sensors, image intensifiers, thermal imagers, DIRCM, laser countermeasure equipment, targeting pods.</t>
  </si>
  <si>
    <t xml:space="preserve">ML16</t>
  </si>
  <si>
    <t xml:space="preserve">Forgings, castings and other unfinished products, specially designed for items specified by ML1 to ML4, ML6, ML9, ML10, ML12 or ML19.</t>
  </si>
  <si>
    <t xml:space="preserve">Housings and structural blanks for military LRUs.</t>
  </si>
  <si>
    <t xml:space="preserve">Miscellaneous equipment, materials and 'libraries' — includes 'libraries' (parametric technical databases) specially designed for military use, signature-reduction materials, and unmanned/robotic systems.</t>
  </si>
  <si>
    <t xml:space="preserve">THREAT LIBRARIES and mission data files, RCS/IR signature data, emitter parameter databases.</t>
  </si>
  <si>
    <t xml:space="preserve">ML18</t>
  </si>
  <si>
    <t xml:space="preserve">'Production' equipment, environmental test facilities and components specially designed for the 'production' of items specified by the Munitions List.</t>
  </si>
  <si>
    <t xml:space="preserve">Production test jigs, automated test equipment, work instructions, specially designed tooling.</t>
  </si>
  <si>
    <t xml:space="preserve">Directed energy weapon systems (DEW), related or countermeasure equipment and test models, and specially designed components.</t>
  </si>
  <si>
    <t xml:space="preserve">High-energy laser and HPM systems, DIRCM at weapon-class power, DEW countermeasures.</t>
  </si>
  <si>
    <t xml:space="preserve">ML20</t>
  </si>
  <si>
    <t xml:space="preserve">Cryogenic and 'superconductive' equipment, and specially designed components and accessories.</t>
  </si>
  <si>
    <t xml:space="preserve">Cooled sensors only.</t>
  </si>
  <si>
    <t xml:space="preserve">'Software' — software specially designed or modified for the 'development', 'production' or 'use' of Munitions List items; software for modelling, simulating or evaluating military weapon systems; C4I software; software for determining the effects of conventional weapons.</t>
  </si>
  <si>
    <t xml:space="preserve">Source code, firmware/HDL, mission software, EW technique generators, simulation software, test software.</t>
  </si>
  <si>
    <t xml:space="preserve">'Technology' — 'required' for the 'development', 'production', operation, installation, maintenance (checking), repair, overhaul or refurbishing of items specified by the Munitions List; 'technology' for design, assembly, operation, maintenance and repair of complete production installations; specific 'technology' for military-use items (e.g. ECM/ECCM, signature reduction).</t>
  </si>
  <si>
    <t xml:space="preserve">EVERY specification, design description, drawing, ICD, test procedure/report, manual and training document for a Munitions List item. Governed by the General Technology Note (see Definitions tab).</t>
  </si>
  <si>
    <t xml:space="preserve">Key principle: the Munitions List controls by DESIGN INTENT ('specially designed for military use'), not by performance threshold. ML21 (software) and ML22 (technology) attach to every other entry — so a document about an ML11 jammer is ML22 technology even if the jammer itself never leaves the country. Full text: https://www.wassenaar.org/control-lists/</t>
  </si>
  <si>
    <t xml:space="preserve">WASSENAAR LIST OF DUAL-USE GOODS AND TECHNOLOGIES — Categories 0 to 9  (SA permit authority: South African Council for the Non-Proliferation of WMD — NPC, dtic — under Act 87 of 1993)</t>
  </si>
  <si>
    <t xml:space="preserve">Category</t>
  </si>
  <si>
    <t xml:space="preserve">Key entries for an EW / avionics house</t>
  </si>
  <si>
    <t xml:space="preserve">Why it matters</t>
  </si>
  <si>
    <t xml:space="preserve">SA authority</t>
  </si>
  <si>
    <t xml:space="preserve">Cat 0</t>
  </si>
  <si>
    <t xml:space="preserve">Nuclear Materials, Facilities and Equipment</t>
  </si>
  <si>
    <t xml:space="preserve">—</t>
  </si>
  <si>
    <t xml:space="preserve">Not typical for an EW / avionics house.</t>
  </si>
  <si>
    <t xml:space="preserve">NPC (Act 87/1993)</t>
  </si>
  <si>
    <t xml:space="preserve">Cat 1</t>
  </si>
  <si>
    <t xml:space="preserve">Special Materials and Related Equipment</t>
  </si>
  <si>
    <t xml:space="preserve">1C001 (radar-absorbent materials), 1C010 (fibrous materials), 1E</t>
  </si>
  <si>
    <t xml:space="preserve">RAM coatings and composite structures used for signature control or airframes.</t>
  </si>
  <si>
    <t xml:space="preserve">Cat 2</t>
  </si>
  <si>
    <t xml:space="preserve">Materials Processing</t>
  </si>
  <si>
    <t xml:space="preserve">2B (machine tools), 2E (technology)</t>
  </si>
  <si>
    <t xml:space="preserve">Specialised machining of RF components and airframe parts.</t>
  </si>
  <si>
    <t xml:space="preserve">Cat 3</t>
  </si>
  <si>
    <t xml:space="preserve">Electronics</t>
  </si>
  <si>
    <t xml:space="preserve">3A001 (ADCs/DACs, MMIC amplifiers, TWTs, high-frequency transistors, FPGAs, phase shifters), 3A002 (signal analysers, signal generators, frequency synthesisers), 3D, 3E001 (technology)</t>
  </si>
  <si>
    <t xml:space="preserve">The building blocks of every EW receiver and transmitter; component BOMs and schematics frequently trigger these entries even in 'civil' projects.</t>
  </si>
  <si>
    <t xml:space="preserve">Cat 4</t>
  </si>
  <si>
    <t xml:space="preserve">Computers</t>
  </si>
  <si>
    <t xml:space="preserve">4A003 (high-performance computers), 4D, 4E</t>
  </si>
  <si>
    <t xml:space="preserve">Signal-processing servers and embedded processing above APP thresholds.</t>
  </si>
  <si>
    <t xml:space="preserve">Cat 5 Part 1</t>
  </si>
  <si>
    <t xml:space="preserve">Telecommunications</t>
  </si>
  <si>
    <t xml:space="preserve">5A001 (spread-spectrum/frequency-hopping radios, jamming equipment, direction finding, electronically steerable phased-array antennas), 5D001, 5E001</t>
  </si>
  <si>
    <t xml:space="preserve">Frequency-agile comms, jammers and DF equipment presented as 'civil' are still controlled here.</t>
  </si>
  <si>
    <t xml:space="preserve">Cat 5 Part 2</t>
  </si>
  <si>
    <t xml:space="preserve">Information Security</t>
  </si>
  <si>
    <t xml:space="preserve">5A002 (cryptographic equipment), 5A003, 5A004, 5D002 (crypto software), 5E002 (technology)</t>
  </si>
  <si>
    <t xml:space="preserve">Encryption in data links, key management, secure voice, TEMPEST.</t>
  </si>
  <si>
    <t xml:space="preserve">Cat 6</t>
  </si>
  <si>
    <t xml:space="preserve">Sensors and 'Lasers'</t>
  </si>
  <si>
    <t xml:space="preserve">6A001 (acoustic), 6A002 (optical sensors/detectors, image intensifiers, focal plane arrays), 6A003 (cameras/thermal imagers), 6A004, 6A005 (lasers), 6A006 (magnetometers), 6A008 (radar, SAR, phased-array, ESM-related radar tech), 6D, 6E</t>
  </si>
  <si>
    <t xml:space="preserve">EO/IR sensors, laser rangefinders/designators, radar and ESM sensor technology.</t>
  </si>
  <si>
    <t xml:space="preserve">Cat 7</t>
  </si>
  <si>
    <t xml:space="preserve">Navigation and Avionics</t>
  </si>
  <si>
    <t xml:space="preserve">7A002 (gyros), 7A003 (inertial navigation), 7A005 (GNSS receivers with anti-jam/CRPA), 7A006 (radar altimeters), 7A008 (underwater nav), 7D, 7E (flight-control and avionics technology)</t>
  </si>
  <si>
    <t xml:space="preserve">INS/GPS integration, anti-jam GNSS, flight-control laws, avionics integration technology.</t>
  </si>
  <si>
    <t xml:space="preserve">Cat 8</t>
  </si>
  <si>
    <t xml:space="preserve">Marine</t>
  </si>
  <si>
    <t xml:space="preserve">8A, 8E</t>
  </si>
  <si>
    <t xml:space="preserve">Naval installation only.</t>
  </si>
  <si>
    <t xml:space="preserve">Cat 9</t>
  </si>
  <si>
    <t xml:space="preserve">Aerospace and Propulsion</t>
  </si>
  <si>
    <t xml:space="preserve">9A001-9A004 (engines), 9A012 (UAVs), 9B, 9D, 9E003 (engine technology)</t>
  </si>
  <si>
    <t xml:space="preserve">UAV platforms and payload integration, propulsion.</t>
  </si>
  <si>
    <t xml:space="preserve">Structure</t>
  </si>
  <si>
    <t xml:space="preserve">Each category is split into A (Systems, Equipment and Components), B (Test, Inspection and Production Equipment), C (Materials), D (Software) and E (Technology).</t>
  </si>
  <si>
    <t xml:space="preserve">e.g. 3A001 = Cat 3, Systems, item 001; 3E001 = the technology for 3A/3B/3C items</t>
  </si>
  <si>
    <t xml:space="preserve">A document about a 'D' or 'E' item is controlled even when no hardware leaves the country — intangible technology transfer.</t>
  </si>
  <si>
    <t xml:space="preserve">SA note</t>
  </si>
  <si>
    <t xml:space="preserve">In South Africa Wassenaar Dual-Use items are declared 'controlled goods' by the South African Council for the Non-Proliferation of WMD (NPC, dtic) under Act 87 of 1993 (latest consolidated declaration GN 319, GG 44423, April 2021). The NCACC's 2012 controlled-items schedule (GN 321, GG 35272) also carries a short 'Dual Use' list (e.g. ballistic body armour).</t>
  </si>
  <si>
    <t xml:space="preserve">Two regulators: NCACC for the Munitions List, NPC for the Dual-Use List. Many EW documents fall under BOTH.</t>
  </si>
  <si>
    <t xml:space="preserve">NCACC + NPC</t>
  </si>
  <si>
    <t xml:space="preserve">DEFINITIONS &amp; GENERAL NOTES — the exact wording the Mitigation rules rely on</t>
  </si>
  <si>
    <t xml:space="preserve">Term</t>
  </si>
  <si>
    <t xml:space="preserve">Definition (Wassenaar / South African statute)</t>
  </si>
  <si>
    <t xml:space="preserve">Why it matters for document classification</t>
  </si>
  <si>
    <t xml:space="preserve">Source</t>
  </si>
  <si>
    <t xml:space="preserve">General Technology Note (GTN)</t>
  </si>
  <si>
    <t xml:space="preserve">The export of 'technology' which is 'required' for the 'development', 'production' or 'use' of items controlled in the Dual-Use List (and, by ML22, the Munitions List) is controlled. Controls on 'technology' transfer do NOT apply to information 'in the public domain', to 'basic scientific research' or to the minimum necessary information for patent applications.</t>
  </si>
  <si>
    <t xml:space="preserve">This is the legal source of the three exemptions used in the Mitigation tab (grounds 1, 2, 3, 16).</t>
  </si>
  <si>
    <t xml:space="preserve">Wassenaar List WA-LIST (25) 1 Corr., General Technology Note</t>
  </si>
  <si>
    <t xml:space="preserve">General Software Note (GSN)</t>
  </si>
  <si>
    <t xml:space="preserve">The Dual-Use List does not control 'software' which is (a) generally available to the public by being sold from stock at retail selling points without restriction and designed for installation by the user without further substantial support by the supplier, or (b) 'in the public domain', or (c) the minimum necessary 'object code' for the installation, operation, maintenance or repair of items whose export has been authorised.</t>
  </si>
  <si>
    <t xml:space="preserve">Source of Mitigation ground 6 (COTS software).</t>
  </si>
  <si>
    <t xml:space="preserve">Wassenaar List, General Software Note</t>
  </si>
  <si>
    <t xml:space="preserve">'Technology'</t>
  </si>
  <si>
    <t xml:space="preserve">Specific information necessary for the 'development', 'production' or 'use' of a product. The information takes the form of 'technical data' or 'technical assistance'.</t>
  </si>
  <si>
    <t xml:space="preserve">Every design, specification, test and support document is potentially 'technology'.</t>
  </si>
  <si>
    <t xml:space="preserve">Wassenaar Definitions of Terms</t>
  </si>
  <si>
    <t xml:space="preserve">'Technical data'</t>
  </si>
  <si>
    <t xml:space="preserve">May take forms such as blueprints, plans, diagrams, models, formulae, tables, engineering designs and specifications, manuals and instructions written or recorded on other media or devices such as disk, tape, read-only memories.</t>
  </si>
  <si>
    <t xml:space="preserve">Format is irrelevant — a PDF, e-mail, slide, wiki page or repository is technical data.</t>
  </si>
  <si>
    <t xml:space="preserve">'Technical assistance'</t>
  </si>
  <si>
    <t xml:space="preserve">May take forms such as instruction, skills, training, working knowledge, consulting services. 'Technical assistance' may involve transfer of 'technical data'.</t>
  </si>
  <si>
    <t xml:space="preserve">Training a foreign engineer, answering a support ticket or remote debugging is a controlled transfer even with no document.</t>
  </si>
  <si>
    <t xml:space="preserve">Wassenaar Definitions of Terms; NCAC Act s1 'services'</t>
  </si>
  <si>
    <t xml:space="preserve">'Required'</t>
  </si>
  <si>
    <t xml:space="preserve">As applied to 'technology', refers to only that portion of 'technology' which is peculiarly responsible for achieving or exceeding the controlled performance levels, characteristics or functions. Such 'required' 'technology' may be shared by different products.</t>
  </si>
  <si>
    <t xml:space="preserve">Basis of Mitigation ground 5 — but Munitions List items have no performance threshold, so this ground mostly applies to Dual-Use items.</t>
  </si>
  <si>
    <t xml:space="preserve">'In the public domain'</t>
  </si>
  <si>
    <t xml:space="preserve">'Technology' or 'software' which has been made available without restrictions upon its further dissemination. Copyright restrictions do not remove 'technology' or 'software' from being 'in the public domain'.</t>
  </si>
  <si>
    <t xml:space="preserve">Basis of Mitigation grounds 1 and 16. The company publishing controlled technology without a permit does not make it public domain — it is an offence.</t>
  </si>
  <si>
    <t xml:space="preserve">'Basic scientific research'</t>
  </si>
  <si>
    <t xml:space="preserve">Experimental or theoretical work undertaken principally to acquire new knowledge of the fundamental principles of phenomena or observable facts, not primarily directed towards a specific practical aim or objective.</t>
  </si>
  <si>
    <t xml:space="preserve">Basis of Mitigation ground 2. Work on a product/LRU is never basic research.</t>
  </si>
  <si>
    <t xml:space="preserve">'Development'</t>
  </si>
  <si>
    <t xml:space="preserve">Related to all stages prior to serial production, such as: design, design research, design analyses, design concepts, assembly and testing of prototypes, pilot production schemes, design data, process of transforming design data into a product, configuration design, integration design, layouts.</t>
  </si>
  <si>
    <t xml:space="preserve">Maps directly onto the left leg of the V-model — requirements, architecture, design, prototyping.</t>
  </si>
  <si>
    <t xml:space="preserve">'Production'</t>
  </si>
  <si>
    <t xml:space="preserve">All production stages, such as: product engineering, manufacture, integration, assembly (mounting), inspection, testing, quality assurance.</t>
  </si>
  <si>
    <t xml:space="preserve">Maps onto the right leg of the V-model and manufacturing — including test and QA documents.</t>
  </si>
  <si>
    <t xml:space="preserve">'Use'</t>
  </si>
  <si>
    <t xml:space="preserve">Operation, installation (including on-site installation), maintenance (checking), repair, overhaul and refurbishing.</t>
  </si>
  <si>
    <t xml:space="preserve">Manuals, installation and maintenance documents are 'use' technology.</t>
  </si>
  <si>
    <t xml:space="preserve">'Software'</t>
  </si>
  <si>
    <t xml:space="preserve">A collection of one or more 'programmes' or 'microprogrammes' fixed in any tangible medium of expression.</t>
  </si>
  <si>
    <t xml:space="preserve">Source code, firmware, HDL and mission data files.</t>
  </si>
  <si>
    <t xml:space="preserve">'Specially designed' (Munitions List)</t>
  </si>
  <si>
    <t xml:space="preserve">Items, components, software and technology designed or modified for military use (the ML uses the phrase 'specially designed for military use' as the trigger).</t>
  </si>
  <si>
    <t xml:space="preserve">The Munitions List controls by design intent, not by performance threshold — a modest-performance item designed for a military platform is still ML.</t>
  </si>
  <si>
    <t xml:space="preserve">Wassenaar Munitions List (heading text of ML5, ML10, ML11, ML15 etc.)</t>
  </si>
  <si>
    <t xml:space="preserve">'Conventional arms' (SA)</t>
  </si>
  <si>
    <t xml:space="preserve">Includes weapons, munitions, explosives, bombs, armaments, vessels, vehicles and aircraft designed or manufactured for use in war; components and technology for their design, development, manufacture, upgrading, refurbishment or maintenance; and dual-use goods.</t>
  </si>
  <si>
    <t xml:space="preserve">The SA definition explicitly pulls 'technology' and 'components' into the permit regime.</t>
  </si>
  <si>
    <t xml:space="preserve">NCAC Act 41 of 2002, s1 (as amended by Act 73 of 2008)</t>
  </si>
  <si>
    <t xml:space="preserve">'Technology' (SA)</t>
  </si>
  <si>
    <t xml:space="preserve">Technique, expertise or know-how for the design, development, manufacture, upgrading, refurbishment or maintenance of conventional arms.</t>
  </si>
  <si>
    <t xml:space="preserve">Wider than Wassenaar's wording — 'know-how' includes undocumented expertise (intangible transfer).</t>
  </si>
  <si>
    <t xml:space="preserve">NCAC Act 41 of 2002, s1</t>
  </si>
  <si>
    <t xml:space="preserve">'Marketing' (SA)</t>
  </si>
  <si>
    <t xml:space="preserve">Promotion of conventional arms, and any negotiations, offer, tender or advertising in respect of conventional arms.</t>
  </si>
  <si>
    <t xml:space="preserve">Brochures, datasheets, proposals and tenders sent abroad need a MARKETING permit even when the document itself carries no controlled technology.</t>
  </si>
  <si>
    <t xml:space="preserve">'Export' (SA)</t>
  </si>
  <si>
    <t xml:space="preserve">Transfer of conventional arms from the Republic to any place outside the Republic.</t>
  </si>
  <si>
    <t xml:space="preserve">Includes intangible transfer: e-mail, cloud, remote access, carrying a laptop across the border.</t>
  </si>
  <si>
    <t xml:space="preserve">'Services' (SA)</t>
  </si>
  <si>
    <t xml:space="preserve">Rendering of services relating to conventional arms, including aid, advice, assistance, training and product support.</t>
  </si>
  <si>
    <t xml:space="preserve">Support and training are controlled activities requiring permits.</t>
  </si>
  <si>
    <t xml:space="preserve">NCAC Act 41 of 2002, s1; GN 321 of 2012 'Services' schedule</t>
  </si>
  <si>
    <t xml:space="preserve">Intangible Technology Transfer (ITT)</t>
  </si>
  <si>
    <t xml:space="preserve">Transfer of controlled technology or software by non-physical means — e-mail, fax, telephone, video conference, cloud storage, remote server access, face-to-face briefing, training or on-site support to a foreign person.</t>
  </si>
  <si>
    <t xml:space="preserve">The classification marking must drive access control inside the company, not only shipping.</t>
  </si>
  <si>
    <t xml:space="preserve">Wassenaar 'Best Practices for Implementing Intangible Transfer of Technology Controls' (2006)</t>
  </si>
  <si>
    <t xml:space="preserve">SOUTH AFRICAN LEGAL FRAMEWORK — NCAC Act 41/2002, NCAC Regulations &amp; Controlled Items Schedule 2012, Firearms Control Act 60/2000, Non-Proliferation Act 87/1993, Criminal Procedure Act s332, Wassenaar</t>
  </si>
  <si>
    <t xml:space="preserve">Instrument</t>
  </si>
  <si>
    <t xml:space="preserve">Section / reference</t>
  </si>
  <si>
    <t xml:space="preserve">What it says</t>
  </si>
  <si>
    <t xml:space="preserve">Why it matters to document classification</t>
  </si>
  <si>
    <t xml:space="preserve">Band</t>
  </si>
  <si>
    <t xml:space="preserve">NCAC Act 41 of 2002</t>
  </si>
  <si>
    <t xml:space="preserve">s1 Definitions</t>
  </si>
  <si>
    <t xml:space="preserve">Defines 'conventional arms' (incl. components, technology and dual-use goods), 'technology', 'marketing', 'export', 'services'.</t>
  </si>
  <si>
    <t xml:space="preserve">A document is a 'controlled item' when it carries 'technology' for a conventional arm.</t>
  </si>
  <si>
    <t xml:space="preserve">Framework</t>
  </si>
  <si>
    <t xml:space="preserve">s2 Objects; s4 NCACC</t>
  </si>
  <si>
    <t xml:space="preserve">Establishes the National Conventional Arms Control Committee (Cabinet ministers) to control trade in conventional arms; the Directorate Conventional Arms Control (DCAC) is its secretariat and inspectorate.</t>
  </si>
  <si>
    <t xml:space="preserve">NCACC is the permit authority for everything on the Munitions List.</t>
  </si>
  <si>
    <t xml:space="preserve">s13 Prohibition</t>
  </si>
  <si>
    <t xml:space="preserve">'No person may trade in conventional arms unless that person is registered with the secretariat and in possession of a permit authorised by the Committee.'</t>
  </si>
  <si>
    <t xml:space="preserve">Registration AND a permit are both required before any marketing, contracting, export or transfer of controlled technology.</t>
  </si>
  <si>
    <t xml:space="preserve">Offence trigger</t>
  </si>
  <si>
    <t xml:space="preserve">s14 Permits</t>
  </si>
  <si>
    <t xml:space="preserve">The Committee may authorise, subject to conditions, or refuse: development/manufacturing, marketing, contracting, export, import and conveyance permits. Applications in the prescribed manner.</t>
  </si>
  <si>
    <t xml:space="preserve">Each document transfer must fall inside the scope and conditions of a specific permit type.</t>
  </si>
  <si>
    <t xml:space="preserve">s15 Guiding principles</t>
  </si>
  <si>
    <t xml:space="preserve">Case-by-case assessment; national security of SA and allies; no contribution to internal repression, human-rights violations, regional instability or terrorism; adherence to international law and arms-control regimes; recipient's legitimate defence needs.</t>
  </si>
  <si>
    <t xml:space="preserve">Destination and end-use affect whether a PERMIT is granted — they never affect whether the document is CONTROLLED (Mitigation grounds 7, 8).</t>
  </si>
  <si>
    <t xml:space="preserve">Permit criteria</t>
  </si>
  <si>
    <t xml:space="preserve">s18-s21 Inspections, search &amp; seizure</t>
  </si>
  <si>
    <t xml:space="preserve">s18 routine inspection without warrant in office hours; s19 warrant-based entry incl. private dwellings to inspect, photograph, copy and seize; s20 warrantless entry with consent or in emergencies; s21 seized items handed to SAPS under the Criminal Procedure Act.</t>
  </si>
  <si>
    <t xml:space="preserve">Unmarked or wrongly marked documents found during inspection are direct evidence of non-compliance.</t>
  </si>
  <si>
    <t xml:space="preserve">Enforcement</t>
  </si>
  <si>
    <t xml:space="preserve">s23 Reporting</t>
  </si>
  <si>
    <t xml:space="preserve">Quarterly and annual reporting by the Committee to Parliament and Cabinet; registered persons must keep records and report.</t>
  </si>
  <si>
    <t xml:space="preserve">Classification records (the Register tab) support the company's statutory reporting and audit trail.</t>
  </si>
  <si>
    <t xml:space="preserve">Compliance</t>
  </si>
  <si>
    <t xml:space="preserve">s24 Offences and penalties</t>
  </si>
  <si>
    <t xml:space="preserve">Offences: trading without registration/permit, breaching permit conditions, false information, obstructing inspectors, failing to disclose conflicts of interest. Penalties: fine or imprisonment up to 25 years (trading/permit offences), up to 20 years (false information), up to 10 years (obstruction and related).</t>
  </si>
  <si>
    <t xml:space="preserve">Releasing a controlled document without a permit = trading without a permit = up to 25 years.</t>
  </si>
  <si>
    <t xml:space="preserve">Criminal</t>
  </si>
  <si>
    <t xml:space="preserve">s27 Regulations &amp; controlled-items list</t>
  </si>
  <si>
    <t xml:space="preserve">Minister publishes regulations and the schedule of controlled items by notice.</t>
  </si>
  <si>
    <t xml:space="preserve">The SA controlled-items list is the legal text; Wassenaar is its source.</t>
  </si>
  <si>
    <t xml:space="preserve">NCAC Amendment Act 73 of 2008</t>
  </si>
  <si>
    <t xml:space="preserve">Whole Act</t>
  </si>
  <si>
    <t xml:space="preserve">Widened the Act to 'controlled items' (conventional arms, dual-use goods, technology and services); strengthened intangible-transfer coverage and the inspectorate.</t>
  </si>
  <si>
    <t xml:space="preserve">Confirms that technology and services — not only hardware — are permit-controlled.</t>
  </si>
  <si>
    <t xml:space="preserve">NCAC Regulations, 2012</t>
  </si>
  <si>
    <t xml:space="preserve">GN R.326, GG 35272, 20 April 2012</t>
  </si>
  <si>
    <t xml:space="preserve">Prescribes registration, permit application forms, end-user certificates, record-keeping and reporting obligations of registered persons.</t>
  </si>
  <si>
    <t xml:space="preserve">Defines the company's administrative duties around every controlled transfer.</t>
  </si>
  <si>
    <t xml:space="preserve">Controlled Items Schedule</t>
  </si>
  <si>
    <t xml:space="preserve">GN 321, GG 35272, 20 April 2012 (s27(3) notice)</t>
  </si>
  <si>
    <t xml:space="preserve">Schedule of controlled items: MUNITIONS LIST (Wassenaar 2010 basis, ML1-ML22 categories with SA remarks), a short DUAL-USE list, and a SERVICES list ('aid, advice, assistance, training, product support').</t>
  </si>
  <si>
    <t xml:space="preserve">This is the list a document is classified against in South Africa; the Wassenaar_ML tab summarises its categories.</t>
  </si>
  <si>
    <t xml:space="preserve">Firearms Control Act 60 of 2000</t>
  </si>
  <si>
    <t xml:space="preserve">s4 Prohibited firearms</t>
  </si>
  <si>
    <t xml:space="preserve">Fully automatic firearms, cannons, rocket launchers, altered firearms and firearms with tampered serial numbers are prohibited except under specific authorisation.</t>
  </si>
  <si>
    <t xml:space="preserve">Any weapon-integration work on platforms may touch FCA licensing as well as NCACC permits.</t>
  </si>
  <si>
    <t xml:space="preserve">s31 Dealer; s45 Manufacturer; s73 Import/export/in-transit</t>
  </si>
  <si>
    <t xml:space="preserve">No trading, manufacturing, importing or exporting of firearms or ammunition without the relevant licence or permit issued by the Registrar (SAPS Central Firearms Registry).</t>
  </si>
  <si>
    <t xml:space="preserve">Firearm-related products and demonstration weapons need SAPS licences in parallel with NCACC permits.</t>
  </si>
  <si>
    <t xml:space="preserve">s120-s121 &amp; Schedule 4</t>
  </si>
  <si>
    <t xml:space="preserve">Offences and penalties; Schedule 4 sets maximum imprisonment per section — up to 25 years for the most serious (e.g. prohibited firearms, unlicensed dealing, manufacturing, import/export).</t>
  </si>
  <si>
    <t xml:space="preserve">Parallel criminal exposure for firearm-related work.</t>
  </si>
  <si>
    <t xml:space="preserve">Non-Proliferation of WMD Act 87 of 1993</t>
  </si>
  <si>
    <t xml:space="preserve">s4 Council; s13 Controlled goods, permits and registration</t>
  </si>
  <si>
    <t xml:space="preserve">Establishes the South African Council for the Non-Proliferation of Weapons of Mass Destruction (NPC, under the dtic); the Minister may declare goods 'controlled goods' — the Wassenaar Dual-Use List has been so declared (GN 319, GG 44423, April 2021). Permits required for transfer.</t>
  </si>
  <si>
    <t xml:space="preserve">Dual-use technology (Cat 3, 5, 6, 7, 9) needs an NPC permit — a separate regulator from the NCACC. Mitigation ground 12.</t>
  </si>
  <si>
    <t xml:space="preserve">s26 Offences and penalties</t>
  </si>
  <si>
    <t xml:space="preserve">Fine or imprisonment: up to 5, 10 or 15 years depending on the offence category; up to life imprisonment for the most serious (WMD-related) offences.</t>
  </si>
  <si>
    <t xml:space="preserve">Dual-use non-compliance carries its own criminal penalties.</t>
  </si>
  <si>
    <t xml:space="preserve">Criminal Procedure Act 51 of 1977</t>
  </si>
  <si>
    <t xml:space="preserve">s332 Prosecution of corporations and members of associations</t>
  </si>
  <si>
    <t xml:space="preserve">An offence by a corporate body is deemed committed by its director or servant; a director or servant is personally liable unless it is proved they took no part in the offence and could not have prevented it.</t>
  </si>
  <si>
    <t xml:space="preserve">Directors and managers are personally exposed for a document released without a permit — the QA classification step is their 'all reasonable steps' evidence.</t>
  </si>
  <si>
    <t xml:space="preserve">Wassenaar Arrangement</t>
  </si>
  <si>
    <t xml:space="preserve">WA-LIST (25) 1 Corr. (Dec 2025 Plenary)</t>
  </si>
  <si>
    <t xml:space="preserve">South Africa is a Participating State (since 2006). The List of Dual-Use Goods and Technologies and the Munitions List are the source texts for the SA controlled-items schedules.</t>
  </si>
  <si>
    <t xml:space="preserve">Use the Wassenaar_ML, Wassenaar_DualUse and Definitions tabs as the fact base when arguing a classification.</t>
  </si>
  <si>
    <t xml:space="preserve">Best Practices for Implementing Intangible Transfer of Technology Controls (2006)</t>
  </si>
  <si>
    <t xml:space="preserve">Participating States control technology transferred by intangible means (electronic media, oral, visual) and encourage internal compliance programmes, record-keeping and awareness.</t>
  </si>
  <si>
    <t xml:space="preserve">Markings must drive IT access control, e-mail rules and foreign-national access — not only shipping.</t>
  </si>
  <si>
    <t xml:space="preserve">Sources: NCAC Act 41 of 2002 — https://www.gov.za/documents/national-conventional-arms-control-act ; Controlled Items Schedule GN 321/2012 — https://www.gov.za/sites/default/files/gcis_document/201409/35272gon321.pdf ;</t>
  </si>
  <si>
    <t xml:space="preserve">Firearms Control Act 60 of 2000 — https://www.gov.za/documents/firearms-control-act ; Non-Proliferation of WMD Act 87 of 1993 — https://www.gov.za/documents/non-proliferation-weapons-mass-destruction-act-2-jul-1993-0000 ;</t>
  </si>
  <si>
    <t xml:space="preserve">Wassenaar Arrangement control lists — https://www.wassenaar.org/control-lists/ ; ITT Best Practices — https://www.wassenaar.org/app/uploads/2019/consolidated/ITT_Best_Practices_for_public_statement_2006.pdf</t>
  </si>
  <si>
    <t xml:space="preserve">CONSEQUENCES OF MIS-CLASSIFICATION — what the company and its directors face when a controlled document leaves without a permit</t>
  </si>
  <si>
    <t xml:space="preserve">Consequence</t>
  </si>
  <si>
    <t xml:space="preserve">Statutory basis</t>
  </si>
  <si>
    <t xml:space="preserve">Who is exposed</t>
  </si>
  <si>
    <t xml:space="preserve">Severity</t>
  </si>
  <si>
    <t xml:space="preserve">Fine and/or imprisonment for trading, manufacturing, marketing, contracting or exporting conventional arms (including technology) without a valid NCACC permit, or in breach of permit conditions</t>
  </si>
  <si>
    <t xml:space="preserve">NCAC Act s13, s24(2) — up to 25 years</t>
  </si>
  <si>
    <t xml:space="preserve">Company + responsible directors/officers</t>
  </si>
  <si>
    <t xml:space="preserve">Critical</t>
  </si>
  <si>
    <t xml:space="preserve">Fine and/or imprisonment for furnishing false or misleading information to the NCACC / DCAC</t>
  </si>
  <si>
    <t xml:space="preserve">NCAC Act s24 — up to 20 years</t>
  </si>
  <si>
    <t xml:space="preserve">Individuals who sign applications and declarations</t>
  </si>
  <si>
    <t xml:space="preserve">Fine and/or imprisonment for obstructing or hindering inspectors</t>
  </si>
  <si>
    <t xml:space="preserve">NCAC Act s24 — up to 10 years</t>
  </si>
  <si>
    <t xml:space="preserve">Any employee</t>
  </si>
  <si>
    <t xml:space="preserve">Suspension, cancellation or revocation of existing development/manufacturing, marketing, contracting, export or import permits</t>
  </si>
  <si>
    <t xml:space="preserve">Administrative</t>
  </si>
  <si>
    <t xml:space="preserve">NCAC Act s14 (permit conditions), Regulations 2012</t>
  </si>
  <si>
    <t xml:space="preserve">Company (whole order book)</t>
  </si>
  <si>
    <t xml:space="preserve">Disqualification from future trade authorisations after conviction of directors or executive officers</t>
  </si>
  <si>
    <t xml:space="preserve">NCAC Act s14, s24; Regulations 2012 (registration fitness)</t>
  </si>
  <si>
    <t xml:space="preserve">Company</t>
  </si>
  <si>
    <t xml:space="preserve">Entry, search and seizure of undocumented or non-compliant items, documents, data and manufacturing equipment</t>
  </si>
  <si>
    <t xml:space="preserve">NCAC Act s18-s21</t>
  </si>
  <si>
    <t xml:space="preserve">Premises, IT systems, records</t>
  </si>
  <si>
    <t xml:space="preserve">Personal criminal liability of directors and managers for the company's statutory offence unless they prove they took no part and could not have prevented it</t>
  </si>
  <si>
    <t xml:space="preserve">Director liability</t>
  </si>
  <si>
    <t xml:space="preserve">Criminal Procedure Act s332</t>
  </si>
  <si>
    <t xml:space="preserve">Directors, executives, managers</t>
  </si>
  <si>
    <t xml:space="preserve">Dual-use technology transferred without an NPC permit — fine or imprisonment (5-15 years; life for WMD-related)</t>
  </si>
  <si>
    <t xml:space="preserve">Non-Proliferation of WMD Act s13, s26</t>
  </si>
  <si>
    <t xml:space="preserve">Company + individuals</t>
  </si>
  <si>
    <t xml:space="preserve">Firearm-related products handled without SAPS licences/permits — imprisonment up to 25 years</t>
  </si>
  <si>
    <t xml:space="preserve">Firearms Control Act s31, s45, s73, s121 &amp; Schedule 4</t>
  </si>
  <si>
    <t xml:space="preserve">Intangible transfer (e-mail, cloud, remote support, source code repository, briefing a foreign national) of controlled technology to an unapproved foreign entity — treated as an unpermitted export</t>
  </si>
  <si>
    <t xml:space="preserve">Criminal / cross-border</t>
  </si>
  <si>
    <t xml:space="preserve">NCAC Act s1 'export', s13, s24; Wassenaar ITT Best Practices</t>
  </si>
  <si>
    <t xml:space="preserve">Company, parent group, individual engineers</t>
  </si>
  <si>
    <t xml:space="preserve">Secondary sanctions, foreign legal action and loss of international partner/customer trust</t>
  </si>
  <si>
    <t xml:space="preserve">Commercial / reputational</t>
  </si>
  <si>
    <t xml:space="preserve">Partner-country export regimes (e.g. ITAR/EAR re-export rules, EU Dual-Use Regulation) triggered by SA non-compliance</t>
  </si>
  <si>
    <t xml:space="preserve">Company and international parent group</t>
  </si>
  <si>
    <t xml:space="preserve">Loss of programme: customer termination, debarment from defence tenders, Armscor/DoD vendor status</t>
  </si>
  <si>
    <t xml:space="preserve">Commercial</t>
  </si>
  <si>
    <t xml:space="preserve">Contractual export-compliance clauses; Armscor vendor requirements</t>
  </si>
  <si>
    <t xml:space="preserve">DOCUMENT MARKINGS &amp; QA WORKFLOW</t>
  </si>
  <si>
    <t xml:space="preserve">Marking</t>
  </si>
  <si>
    <t xml:space="preserve">Verbatim text for the document header / footer  (Classify!C30 pulls from here)</t>
  </si>
  <si>
    <t xml:space="preserve">When used</t>
  </si>
  <si>
    <t xml:space="preserve">EXPORT CONTROLLED — This document contains technology controlled under the National Conventional Arms Control Act 41 of 2002 (Wassenaar Munitions List / SA Controlled Items Schedule). It may not be exported, disclosed, e-mailed, uploaded or otherwise transferred to any foreign person, entity or destination — including by intangible means — without a valid NCACC permit. Unauthorised transfer is a criminal offence (s24: up to 25 years imprisonment).</t>
  </si>
  <si>
    <t xml:space="preserve">Classify decision = YES, or Final = YES</t>
  </si>
  <si>
    <t xml:space="preserve">NOT EXPORT CONTROLLED — Reviewed against the SA Controlled Items Schedule and the Wassenaar Lists on [date] by [name]. No controlled technology identified. Re-classify if technical content is added.</t>
  </si>
  <si>
    <t xml:space="preserve">Classify decision = NO, or downgrade signed off by ECO</t>
  </si>
  <si>
    <t xml:space="preserve">DUAL-USE CONTROLLED</t>
  </si>
  <si>
    <t xml:space="preserve">DUAL-USE CONTROLLED — This document contains technology controlled under the Non-Proliferation of Weapons of Mass Destruction Act 87 of 1993 (Wassenaar Dual-Use List). Transfer outside South Africa requires a permit from the South African Council for the Non-Proliferation of WMD (NPC).</t>
  </si>
  <si>
    <t xml:space="preserve">ECO re-classifies under the Non-Proliferation Act (Mitigation ground 12)</t>
  </si>
  <si>
    <t xml:space="preserve">Step / Role</t>
  </si>
  <si>
    <t xml:space="preserve">QA checklist action</t>
  </si>
  <si>
    <t xml:space="preserve">Note</t>
  </si>
  <si>
    <t xml:space="preserve">1.  Author</t>
  </si>
  <si>
    <t xml:space="preserve">Select the document type and paste the scope / general paragraphs on the Classify tab.</t>
  </si>
  <si>
    <t xml:space="preserve">Every new or revised document, before first release.</t>
  </si>
  <si>
    <t xml:space="preserve">2.  Author</t>
  </si>
  <si>
    <t xml:space="preserve">Read the automatic decision and its reason; check the matched keywords make sense in context.</t>
  </si>
  <si>
    <t xml:space="preserve">If a keyword is a false hit (e.g. 'flare' in a photography document) note it in the Register.</t>
  </si>
  <si>
    <t xml:space="preserve">3.  Author</t>
  </si>
  <si>
    <t xml:space="preserve">If YES and you disagree, enter 1-3 grounds on the Mitigation tab with justification and evidence.</t>
  </si>
  <si>
    <t xml:space="preserve">Grounds 7-10, 12, 13 are always rejected — do not waste time on them.</t>
  </si>
  <si>
    <t xml:space="preserve">4.  Checker / QA</t>
  </si>
  <si>
    <t xml:space="preserve">Verify the document type is the closest match and the scope text is representative of the WHOLE document (not just the introduction).</t>
  </si>
  <si>
    <t xml:space="preserve">A wrong document type is the commonest error.</t>
  </si>
  <si>
    <t xml:space="preserve">5.  Export Control Officer</t>
  </si>
  <si>
    <t xml:space="preserve">For CONDITIONAL outcomes, perform the check described in column G of the Mitigation tab against the Wassenaar_ML / Wassenaar_DualUse tabs.</t>
  </si>
  <si>
    <t xml:space="preserve">Only the ECO may confirm a downgrade.</t>
  </si>
  <si>
    <t xml:space="preserve">6.  Export Control Officer</t>
  </si>
  <si>
    <t xml:space="preserve">Record the final classification, ECO name and date in the Register tab; apply the marking text from this tab to the document header/footer.</t>
  </si>
  <si>
    <t xml:space="preserve">Marking wording must be verbatim.</t>
  </si>
  <si>
    <t xml:space="preserve">7.  Document Control</t>
  </si>
  <si>
    <t xml:space="preserve">Set access rights: EXPORT CONTROLLED documents to the controlled repository; no foreign-national access; no external cloud sync; no e-mail outside SA without permit reference in the Register.</t>
  </si>
  <si>
    <t xml:space="preserve">Intangible transfer is an export.</t>
  </si>
  <si>
    <t xml:space="preserve">8.  Export Control Officer</t>
  </si>
  <si>
    <t xml:space="preserve">Before any release abroad, quote the permit number and check the recipient is within the permit scope; log the transfer.</t>
  </si>
  <si>
    <t xml:space="preserve">NCAC Act s13/s14.</t>
  </si>
  <si>
    <t xml:space="preserve">Access-control rules that follow from the marking: controlled repository only · no foreign-national access without a permit covering that person · no external cloud sync · no e-mail outside SA without a permit reference in the Register · no remote support sessions abroad without a permit (intangible transfer is an export).</t>
  </si>
  <si>
    <t xml:space="preserve">Date</t>
  </si>
  <si>
    <t xml:space="preserve">Initial decision</t>
  </si>
  <si>
    <t xml:space="preserve">Mitigation verdict</t>
  </si>
  <si>
    <t xml:space="preserve">FINAL classification</t>
  </si>
  <si>
    <t xml:space="preserve">Control entry</t>
  </si>
  <si>
    <t xml:space="preserve">ECO</t>
  </si>
  <si>
    <t xml:space="preserve">Permit ref. (if released abroad)</t>
  </si>
  <si>
    <t xml:space="preserve">Notes / false keyword hits</t>
  </si>
  <si>
    <t xml:space="preserve">2026-09-17</t>
  </si>
  <si>
    <t xml:space="preserve">YES</t>
  </si>
  <si>
    <t xml:space="preserve">T. Naidoo</t>
  </si>
  <si>
    <t xml:space="preserve">Example row — delete when the first real entry is made</t>
  </si>
</sst>
</file>

<file path=xl/styles.xml><?xml version="1.0" encoding="utf-8"?>
<styleSheet xmlns="http://schemas.openxmlformats.org/spreadsheetml/2006/main">
  <numFmts count="3">
    <numFmt numFmtId="164" formatCode="General"/>
    <numFmt numFmtId="165" formatCode="General"/>
    <numFmt numFmtId="166" formatCode="yyyy\-mm\-dd"/>
  </numFmts>
  <fonts count="4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595959"/>
      <name val="Arial"/>
      <family val="0"/>
      <charset val="1"/>
    </font>
    <font>
      <b val="true"/>
      <sz val="9"/>
      <color rgb="FF0000FF"/>
      <name val="Arial"/>
      <family val="0"/>
      <charset val="1"/>
    </font>
    <font>
      <b val="true"/>
      <sz val="9"/>
      <color rgb="FF000000"/>
      <name val="Arial"/>
      <family val="0"/>
      <charset val="1"/>
    </font>
    <font>
      <b val="true"/>
      <sz val="9"/>
      <color rgb="FF9C0006"/>
      <name val="Arial"/>
      <family val="0"/>
      <charset val="1"/>
    </font>
    <font>
      <b val="true"/>
      <sz val="9"/>
      <color rgb="FF006100"/>
      <name val="Arial"/>
      <family val="0"/>
      <charset val="1"/>
    </font>
    <font>
      <b val="true"/>
      <sz val="9"/>
      <color rgb="FF7F6000"/>
      <name val="Arial"/>
      <family val="0"/>
      <charset val="1"/>
    </font>
    <font>
      <b val="true"/>
      <sz val="11"/>
      <color rgb="FFFFFFFF"/>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b val="true"/>
      <sz val="13"/>
      <color rgb="FF000000"/>
      <name val="Arial"/>
      <family val="0"/>
      <charset val="1"/>
    </font>
    <font>
      <b val="true"/>
      <sz val="20"/>
      <color rgb="FF000000"/>
      <name val="Arial"/>
      <family val="0"/>
      <charset val="1"/>
    </font>
    <font>
      <b val="true"/>
      <sz val="9"/>
      <color rgb="FF595959"/>
      <name val="Arial"/>
      <family val="0"/>
      <charset val="1"/>
    </font>
    <font>
      <b val="true"/>
      <sz val="10"/>
      <color rgb="FF0563C1"/>
      <name val="Arial"/>
      <family val="0"/>
      <charset val="1"/>
    </font>
    <font>
      <sz val="9"/>
      <color rgb="FF000000"/>
      <name val="Arial"/>
      <family val="0"/>
      <charset val="1"/>
    </font>
    <font>
      <b val="true"/>
      <sz val="16"/>
      <color rgb="FF000000"/>
      <name val="Arial"/>
      <family val="0"/>
      <charset val="1"/>
    </font>
    <font>
      <sz val="10"/>
      <color rgb="FF404040"/>
      <name val="Arial"/>
      <family val="0"/>
      <charset val="1"/>
    </font>
    <font>
      <b val="true"/>
      <i val="true"/>
      <sz val="10"/>
      <color rgb="FF404040"/>
      <name val="Arial"/>
      <family val="0"/>
      <charset val="1"/>
    </font>
    <font>
      <sz val="10"/>
      <name val="Arial"/>
      <family val="2"/>
    </font>
    <font>
      <b val="true"/>
      <sz val="12"/>
      <color rgb="FF000000"/>
      <name val="Arial"/>
      <family val="0"/>
      <charset val="1"/>
    </font>
    <font>
      <sz val="8"/>
      <color rgb="FF808080"/>
      <name val="Arial"/>
      <family val="0"/>
      <charset val="1"/>
    </font>
    <font>
      <sz val="9"/>
      <color rgb="FF808080"/>
      <name val="Arial"/>
      <family val="0"/>
      <charset val="1"/>
    </font>
    <font>
      <b val="true"/>
      <sz val="10"/>
      <color rgb="FFFFFFFF"/>
      <name val="Arial"/>
      <family val="0"/>
      <charset val="1"/>
    </font>
    <font>
      <b val="true"/>
      <sz val="11"/>
      <color rgb="FF000000"/>
      <name val="Arial"/>
      <family val="0"/>
      <charset val="1"/>
    </font>
    <font>
      <i val="true"/>
      <sz val="8"/>
      <color rgb="FF595959"/>
      <name val="Arial"/>
      <family val="0"/>
      <charset val="1"/>
    </font>
    <font>
      <b val="true"/>
      <sz val="16"/>
      <color rgb="FF9C0006"/>
      <name val="Arial"/>
      <family val="0"/>
      <charset val="1"/>
    </font>
    <font>
      <b val="true"/>
      <sz val="16"/>
      <color rgb="FF006100"/>
      <name val="Arial"/>
      <family val="0"/>
      <charset val="1"/>
    </font>
    <font>
      <b val="true"/>
      <sz val="16"/>
      <color rgb="FF7F6000"/>
      <name val="Arial"/>
      <family val="0"/>
      <charset val="1"/>
    </font>
    <font>
      <i val="true"/>
      <sz val="9"/>
      <color rgb="FF0000FF"/>
      <name val="Arial"/>
      <family val="0"/>
      <charset val="1"/>
    </font>
    <font>
      <sz val="9"/>
      <color rgb="FF0000FF"/>
      <name val="Arial"/>
      <family val="0"/>
      <charset val="1"/>
    </font>
    <font>
      <b val="true"/>
      <sz val="9"/>
      <color rgb="FFFFFFFF"/>
      <name val="Arial"/>
      <family val="0"/>
      <charset val="1"/>
    </font>
    <font>
      <b val="true"/>
      <sz val="9"/>
      <color rgb="FF404040"/>
      <name val="Arial"/>
      <family val="0"/>
      <charset val="1"/>
    </font>
    <font>
      <b val="true"/>
      <sz val="9"/>
      <color rgb="FF1F4E79"/>
      <name val="Arial"/>
      <family val="0"/>
      <charset val="1"/>
    </font>
    <font>
      <b val="true"/>
      <sz val="10"/>
      <color rgb="FF9C0006"/>
      <name val="Arial"/>
      <family val="0"/>
      <charset val="1"/>
    </font>
    <font>
      <b val="true"/>
      <sz val="10"/>
      <color rgb="FF006100"/>
      <name val="Arial"/>
      <family val="0"/>
      <charset val="1"/>
    </font>
    <font>
      <b val="true"/>
      <sz val="10"/>
      <color rgb="FF7F6000"/>
      <name val="Arial"/>
      <family val="0"/>
      <charset val="1"/>
    </font>
  </fonts>
  <fills count="19">
    <fill>
      <patternFill patternType="none"/>
    </fill>
    <fill>
      <patternFill patternType="gray125"/>
    </fill>
    <fill>
      <patternFill patternType="solid">
        <fgColor rgb="FF1F3864"/>
        <bgColor rgb="FF1F4E79"/>
      </patternFill>
    </fill>
    <fill>
      <patternFill patternType="solid">
        <fgColor rgb="FFFFF2CC"/>
        <bgColor rgb="FFFCE4D6"/>
      </patternFill>
    </fill>
    <fill>
      <patternFill patternType="solid">
        <fgColor rgb="FFF2F2F2"/>
        <bgColor rgb="FFEDEDED"/>
      </patternFill>
    </fill>
    <fill>
      <patternFill patternType="solid">
        <fgColor rgb="FFFFC7CE"/>
        <bgColor rgb="FFF8CBAD"/>
      </patternFill>
    </fill>
    <fill>
      <patternFill patternType="solid">
        <fgColor rgb="FFC6EFCE"/>
        <bgColor rgb="FFE2EFDA"/>
      </patternFill>
    </fill>
    <fill>
      <patternFill patternType="solid">
        <fgColor rgb="FFFFEB9C"/>
        <bgColor rgb="FFFFF2CC"/>
      </patternFill>
    </fill>
    <fill>
      <patternFill patternType="solid">
        <fgColor rgb="FF2F5597"/>
        <bgColor rgb="FF1F4E79"/>
      </patternFill>
    </fill>
    <fill>
      <patternFill patternType="solid">
        <fgColor rgb="FFDDEBF7"/>
        <bgColor rgb="FFD9E1F2"/>
      </patternFill>
    </fill>
    <fill>
      <patternFill patternType="solid">
        <fgColor rgb="FF7F7F7F"/>
        <bgColor rgb="FF808080"/>
      </patternFill>
    </fill>
    <fill>
      <patternFill patternType="solid">
        <fgColor rgb="FFD9E1F2"/>
        <bgColor rgb="FFE4DFEC"/>
      </patternFill>
    </fill>
    <fill>
      <patternFill patternType="solid">
        <fgColor rgb="FFE2EFDA"/>
        <bgColor rgb="FFEDEDED"/>
      </patternFill>
    </fill>
    <fill>
      <patternFill patternType="solid">
        <fgColor rgb="FFFCE4D6"/>
        <bgColor rgb="FFFFD7D7"/>
      </patternFill>
    </fill>
    <fill>
      <patternFill patternType="solid">
        <fgColor rgb="FFEDEDED"/>
        <bgColor rgb="FFF2F2F2"/>
      </patternFill>
    </fill>
    <fill>
      <patternFill patternType="solid">
        <fgColor rgb="FFF8CBAD"/>
        <bgColor rgb="FFFFC7CE"/>
      </patternFill>
    </fill>
    <fill>
      <patternFill patternType="solid">
        <fgColor rgb="FFE4DFEC"/>
        <bgColor rgb="FFD9E1F2"/>
      </patternFill>
    </fill>
    <fill>
      <patternFill patternType="solid">
        <fgColor rgb="FFD9D2E9"/>
        <bgColor rgb="FFE4DFEC"/>
      </patternFill>
    </fill>
    <fill>
      <patternFill patternType="solid">
        <fgColor rgb="FFFFD7D7"/>
        <bgColor rgb="FFFCE4D6"/>
      </patternFill>
    </fill>
  </fills>
  <borders count="7">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BF9000"/>
      </left>
      <right/>
      <top style="medium">
        <color rgb="FFBF9000"/>
      </top>
      <bottom style="medium">
        <color rgb="FFBF9000"/>
      </bottom>
      <diagonal/>
    </border>
    <border diagonalUp="false" diagonalDown="false">
      <left style="medium">
        <color rgb="FFBF9000"/>
      </left>
      <right/>
      <top style="medium">
        <color rgb="FFBF9000"/>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top style="thin">
        <color rgb="FFBFBFBF"/>
      </top>
      <bottom/>
      <diagonal/>
    </border>
    <border diagonalUp="false" diagonalDown="false">
      <left style="medium">
        <color rgb="FFBF9000"/>
      </left>
      <right style="medium">
        <color rgb="FFBF9000"/>
      </right>
      <top style="medium">
        <color rgb="FFBF9000"/>
      </top>
      <bottom style="medium">
        <color rgb="FFBF900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8" borderId="0" xfId="0" applyFont="true" applyBorder="true" applyAlignment="true" applyProtection="false">
      <alignment horizontal="general" vertical="center" textRotation="0" wrapText="false" indent="1" shrinkToFit="false"/>
      <protection locked="true" hidden="false"/>
    </xf>
    <xf numFmtId="164" fontId="12" fillId="4" borderId="1" xfId="0" applyFont="true" applyBorder="true" applyAlignment="true" applyProtection="false">
      <alignment horizontal="general" vertical="top" textRotation="0" wrapText="true" indent="0" shrinkToFit="false"/>
      <protection locked="true" hidden="false"/>
    </xf>
    <xf numFmtId="164" fontId="13" fillId="3" borderId="2" xfId="0" applyFont="true" applyBorder="true" applyAlignment="true" applyProtection="false">
      <alignment horizontal="general" vertical="top" textRotation="0" wrapText="true" indent="0" shrinkToFit="false"/>
      <protection locked="true" hidden="false"/>
    </xf>
    <xf numFmtId="164" fontId="13" fillId="3" borderId="3"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4" fillId="0" borderId="4" xfId="0" applyFont="true" applyBorder="true" applyAlignment="true" applyProtection="false">
      <alignment horizontal="general" vertical="top" textRotation="0" wrapText="true" indent="0" shrinkToFit="false"/>
      <protection locked="true" hidden="false"/>
    </xf>
    <xf numFmtId="165" fontId="12" fillId="0" borderId="1" xfId="0" applyFont="true" applyBorder="true" applyAlignment="true" applyProtection="false">
      <alignment horizontal="left" vertical="center" textRotation="0" wrapText="fals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15" fillId="4" borderId="1" xfId="0" applyFont="true" applyBorder="true" applyAlignment="true" applyProtection="false">
      <alignment horizontal="general" vertical="top" textRotation="0" wrapText="true" indent="0" shrinkToFit="false"/>
      <protection locked="true" hidden="false"/>
    </xf>
    <xf numFmtId="164" fontId="16" fillId="0" borderId="4" xfId="0" applyFont="true" applyBorder="true" applyAlignment="true" applyProtection="false">
      <alignment horizontal="center" vertical="center" textRotation="0" wrapText="true" indent="0" shrinkToFit="false"/>
      <protection locked="true" hidden="false"/>
    </xf>
    <xf numFmtId="164" fontId="17" fillId="0" borderId="4" xfId="0" applyFont="true" applyBorder="true" applyAlignment="true" applyProtection="false">
      <alignment horizontal="general" vertical="center" textRotation="0" wrapText="true" indent="0" shrinkToFit="false"/>
      <protection locked="true" hidden="false"/>
    </xf>
    <xf numFmtId="164" fontId="14" fillId="0" borderId="5" xfId="0" applyFont="true" applyBorder="true" applyAlignment="true" applyProtection="false">
      <alignment horizontal="general" vertical="top" textRotation="0" wrapText="true" indent="0" shrinkToFit="false"/>
      <protection locked="true" hidden="false"/>
    </xf>
    <xf numFmtId="164" fontId="18" fillId="9" borderId="1" xfId="0" applyFont="true" applyBorder="tru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true" indent="0" shrinkToFit="false"/>
      <protection locked="true" hidden="false"/>
    </xf>
    <xf numFmtId="164" fontId="19" fillId="0" borderId="4" xfId="0" applyFont="true" applyBorder="true" applyAlignment="true" applyProtection="false">
      <alignment horizontal="general" vertical="top" textRotation="0" wrapText="true" indent="0" shrinkToFit="false"/>
      <protection locked="true" hidden="false"/>
    </xf>
    <xf numFmtId="164" fontId="20" fillId="0" borderId="4" xfId="0" applyFont="true" applyBorder="true" applyAlignment="true" applyProtection="false">
      <alignment horizontal="center" vertical="center" textRotation="0" wrapText="true" indent="0" shrinkToFit="false"/>
      <protection locked="true" hidden="false"/>
    </xf>
    <xf numFmtId="164" fontId="11" fillId="10" borderId="0" xfId="0" applyFont="true" applyBorder="true" applyAlignment="true" applyProtection="false">
      <alignment horizontal="general" vertical="center" textRotation="0" wrapText="false" indent="1" shrinkToFit="false"/>
      <protection locked="true" hidden="false"/>
    </xf>
    <xf numFmtId="164" fontId="13" fillId="3" borderId="6"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22" fillId="0" borderId="0" xfId="0" applyFont="true" applyBorder="true" applyAlignment="true" applyProtection="false">
      <alignment horizontal="general" vertical="top" textRotation="0" wrapText="true" indent="0" shrinkToFit="false"/>
      <protection locked="true" hidden="false"/>
    </xf>
    <xf numFmtId="164" fontId="12" fillId="0" borderId="4" xfId="0" applyFont="true" applyBorder="tru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9" fillId="0" borderId="5"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25" fillId="4" borderId="1" xfId="0" applyFont="true" applyBorder="true" applyAlignment="true" applyProtection="false">
      <alignment horizontal="general" vertical="top" textRotation="0" wrapText="true" indent="0" shrinkToFit="false"/>
      <protection locked="true" hidden="false"/>
    </xf>
    <xf numFmtId="165" fontId="26" fillId="0" borderId="1" xfId="0" applyFont="true" applyBorder="true" applyAlignment="true" applyProtection="false">
      <alignment horizontal="general" vertical="top" textRotation="0" wrapText="true" indent="0" shrinkToFit="false"/>
      <protection locked="true" hidden="false"/>
    </xf>
    <xf numFmtId="164" fontId="27" fillId="2" borderId="1" xfId="0" applyFont="true" applyBorder="true" applyAlignment="true" applyProtection="false">
      <alignment horizontal="center" vertical="center" textRotation="0" wrapText="true" indent="0" shrinkToFit="false"/>
      <protection locked="true" hidden="false"/>
    </xf>
    <xf numFmtId="164" fontId="28" fillId="0" borderId="1" xfId="0" applyFont="true" applyBorder="true" applyAlignment="true" applyProtection="false">
      <alignment horizontal="center" vertical="center"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4" fontId="28" fillId="0" borderId="4" xfId="0" applyFont="true" applyBorder="true" applyAlignment="true" applyProtection="false">
      <alignment horizontal="general" vertical="top" textRotation="0" wrapText="true" indent="0" shrinkToFit="false"/>
      <protection locked="true" hidden="false"/>
    </xf>
    <xf numFmtId="164" fontId="12" fillId="0" borderId="5" xfId="0" applyFont="true" applyBorder="true" applyAlignment="true" applyProtection="false">
      <alignment horizontal="general" vertical="center" textRotation="0" wrapText="true" indent="0" shrinkToFit="false"/>
      <protection locked="true" hidden="false"/>
    </xf>
    <xf numFmtId="166" fontId="13" fillId="3" borderId="2" xfId="0" applyFont="true" applyBorder="true" applyAlignment="true" applyProtection="false">
      <alignment horizontal="general" vertical="top" textRotation="0" wrapText="true" indent="0" shrinkToFit="false"/>
      <protection locked="true" hidden="false"/>
    </xf>
    <xf numFmtId="164" fontId="8" fillId="5" borderId="0" xfId="0" applyFont="true" applyBorder="true" applyAlignment="true" applyProtection="false">
      <alignment horizontal="general" vertical="top" textRotation="0" wrapText="tru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5" fontId="20" fillId="4" borderId="1" xfId="0" applyFont="true" applyBorder="true" applyAlignment="true" applyProtection="false">
      <alignment horizontal="center" vertical="center" textRotation="0" wrapText="true" indent="0" shrinkToFit="false"/>
      <protection locked="true" hidden="false"/>
    </xf>
    <xf numFmtId="165" fontId="30" fillId="5" borderId="1" xfId="0" applyFont="true" applyBorder="true" applyAlignment="true" applyProtection="false">
      <alignment horizontal="center" vertical="center" textRotation="0" wrapText="true" indent="0" shrinkToFit="false"/>
      <protection locked="true" hidden="false"/>
    </xf>
    <xf numFmtId="165" fontId="31" fillId="6" borderId="1" xfId="0" applyFont="true" applyBorder="true" applyAlignment="true" applyProtection="false">
      <alignment horizontal="center" vertical="center" textRotation="0" wrapText="true" indent="0" shrinkToFit="false"/>
      <protection locked="true" hidden="false"/>
    </xf>
    <xf numFmtId="165" fontId="32" fillId="7"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33" fillId="3" borderId="6"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9" fillId="11" borderId="1" xfId="0" applyFont="true" applyBorder="true" applyAlignment="true" applyProtection="false">
      <alignment horizontal="general" vertical="top" textRotation="0" wrapText="true" indent="0" shrinkToFit="false"/>
      <protection locked="true" hidden="false"/>
    </xf>
    <xf numFmtId="164" fontId="19" fillId="9" borderId="1" xfId="0" applyFont="true" applyBorder="true" applyAlignment="true" applyProtection="false">
      <alignment horizontal="general" vertical="top" textRotation="0" wrapText="true" indent="0" shrinkToFit="false"/>
      <protection locked="true" hidden="false"/>
    </xf>
    <xf numFmtId="164" fontId="19" fillId="12" borderId="1" xfId="0" applyFont="true" applyBorder="true" applyAlignment="true" applyProtection="false">
      <alignment horizontal="general" vertical="top" textRotation="0" wrapText="true" indent="0" shrinkToFit="false"/>
      <protection locked="true" hidden="false"/>
    </xf>
    <xf numFmtId="164" fontId="19" fillId="3" borderId="1" xfId="0" applyFont="true" applyBorder="true" applyAlignment="true" applyProtection="false">
      <alignment horizontal="general" vertical="top" textRotation="0" wrapText="true" indent="0" shrinkToFit="false"/>
      <protection locked="true" hidden="false"/>
    </xf>
    <xf numFmtId="164" fontId="19" fillId="13" borderId="1" xfId="0" applyFont="true" applyBorder="true" applyAlignment="true" applyProtection="false">
      <alignment horizontal="general" vertical="top" textRotation="0" wrapText="true" indent="0" shrinkToFit="false"/>
      <protection locked="true" hidden="false"/>
    </xf>
    <xf numFmtId="164" fontId="19" fillId="14" borderId="1" xfId="0" applyFont="true" applyBorder="true" applyAlignment="true" applyProtection="false">
      <alignment horizontal="general" vertical="top" textRotation="0" wrapText="true" indent="0" shrinkToFit="false"/>
      <protection locked="true" hidden="false"/>
    </xf>
    <xf numFmtId="164" fontId="19" fillId="15" borderId="1" xfId="0" applyFont="true" applyBorder="true" applyAlignment="true" applyProtection="false">
      <alignment horizontal="general" vertical="top" textRotation="0" wrapText="true" indent="0" shrinkToFit="false"/>
      <protection locked="true" hidden="false"/>
    </xf>
    <xf numFmtId="164" fontId="19" fillId="16" borderId="1" xfId="0" applyFont="true" applyBorder="true" applyAlignment="true" applyProtection="false">
      <alignment horizontal="general" vertical="top" textRotation="0" wrapText="true" indent="0" shrinkToFit="false"/>
      <protection locked="true" hidden="false"/>
    </xf>
    <xf numFmtId="164" fontId="7" fillId="11" borderId="1" xfId="0" applyFont="true" applyBorder="true" applyAlignment="false" applyProtection="false">
      <alignment horizontal="general" vertical="bottom" textRotation="0" wrapText="false" indent="0" shrinkToFit="false"/>
      <protection locked="true" hidden="false"/>
    </xf>
    <xf numFmtId="164" fontId="7" fillId="9" borderId="1" xfId="0" applyFont="true" applyBorder="true" applyAlignment="false" applyProtection="false">
      <alignment horizontal="general" vertical="bottom" textRotation="0" wrapText="false" indent="0" shrinkToFit="false"/>
      <protection locked="true" hidden="false"/>
    </xf>
    <xf numFmtId="164" fontId="7" fillId="12" borderId="1" xfId="0" applyFont="true" applyBorder="true" applyAlignment="false" applyProtection="false">
      <alignment horizontal="general"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13" borderId="1" xfId="0" applyFont="true" applyBorder="true" applyAlignment="false" applyProtection="false">
      <alignment horizontal="general" vertical="bottom" textRotation="0" wrapText="false" indent="0" shrinkToFit="false"/>
      <protection locked="true" hidden="false"/>
    </xf>
    <xf numFmtId="164" fontId="7" fillId="14" borderId="1" xfId="0" applyFont="true" applyBorder="true" applyAlignment="false" applyProtection="false">
      <alignment horizontal="general" vertical="bottom" textRotation="0" wrapText="false" indent="0" shrinkToFit="false"/>
      <protection locked="true" hidden="false"/>
    </xf>
    <xf numFmtId="164" fontId="7" fillId="15" borderId="1" xfId="0" applyFont="true" applyBorder="true" applyAlignment="false" applyProtection="false">
      <alignment horizontal="general" vertical="bottom" textRotation="0" wrapText="false" indent="0" shrinkToFit="false"/>
      <protection locked="true" hidden="false"/>
    </xf>
    <xf numFmtId="164" fontId="7" fillId="16" borderId="1" xfId="0" applyFont="true" applyBorder="true" applyAlignment="false" applyProtection="false">
      <alignment horizontal="general" vertical="bottom" textRotation="0" wrapText="false" indent="0" shrinkToFit="false"/>
      <protection locked="true" hidden="false"/>
    </xf>
    <xf numFmtId="164" fontId="34" fillId="0" borderId="1" xfId="0" applyFont="true" applyBorder="true" applyAlignment="true" applyProtection="false">
      <alignment horizontal="general" vertical="top" textRotation="0" wrapText="true" indent="0" shrinkToFit="false"/>
      <protection locked="true" hidden="false"/>
    </xf>
    <xf numFmtId="164" fontId="7" fillId="15"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7" fillId="17"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18"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7" fillId="17" borderId="1" xfId="0" applyFont="true" applyBorder="true" applyAlignment="false" applyProtection="false">
      <alignment horizontal="general" vertical="bottom" textRotation="0" wrapText="false" indent="0" shrinkToFit="false"/>
      <protection locked="true" hidden="false"/>
    </xf>
    <xf numFmtId="164" fontId="7" fillId="18"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35" fillId="2" borderId="1" xfId="0" applyFont="true" applyBorder="true" applyAlignment="false" applyProtection="false">
      <alignment horizontal="general" vertical="bottom" textRotation="0" wrapText="false" indent="0" shrinkToFit="false"/>
      <protection locked="true" hidden="false"/>
    </xf>
    <xf numFmtId="164" fontId="35" fillId="2" borderId="4"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1" fillId="2" borderId="0" xfId="0" applyFont="true" applyBorder="true" applyAlignment="true" applyProtection="false">
      <alignment horizontal="general" vertical="center" textRotation="0" wrapText="true" indent="1"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4" fontId="12" fillId="9" borderId="1" xfId="0" applyFont="true" applyBorder="true" applyAlignment="true" applyProtection="false">
      <alignment horizontal="general" vertical="top" textRotation="0" wrapText="true" indent="0" shrinkToFit="false"/>
      <protection locked="true" hidden="false"/>
    </xf>
    <xf numFmtId="164" fontId="11" fillId="2" borderId="0" xfId="0" applyFont="true" applyBorder="true" applyAlignment="true" applyProtection="false">
      <alignment horizontal="general" vertical="center" textRotation="0" wrapText="false" indent="1" shrinkToFit="false"/>
      <protection locked="true" hidden="false"/>
    </xf>
    <xf numFmtId="164" fontId="12" fillId="7"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36" fillId="4" borderId="1" xfId="0" applyFont="true" applyBorder="true" applyAlignment="true" applyProtection="false">
      <alignment horizontal="center" vertical="center" textRotation="0" wrapText="true" indent="0" shrinkToFit="false"/>
      <protection locked="true" hidden="false"/>
    </xf>
    <xf numFmtId="164" fontId="37" fillId="9" borderId="1" xfId="0" applyFont="true" applyBorder="true" applyAlignment="true" applyProtection="false">
      <alignment horizontal="center" vertical="center" textRotation="0" wrapText="true" indent="0" shrinkToFit="false"/>
      <protection locked="true" hidden="false"/>
    </xf>
    <xf numFmtId="164" fontId="29" fillId="0" borderId="0" xfId="0" applyFont="true" applyBorder="true" applyAlignment="false" applyProtection="false">
      <alignment horizontal="general" vertical="bottom" textRotation="0" wrapText="false" indent="0" shrinkToFit="false"/>
      <protection locked="true" hidden="false"/>
    </xf>
    <xf numFmtId="164" fontId="38" fillId="5" borderId="1" xfId="0" applyFont="true" applyBorder="true" applyAlignment="true" applyProtection="false">
      <alignment horizontal="general" vertical="top" textRotation="0" wrapText="true" indent="0" shrinkToFit="false"/>
      <protection locked="true" hidden="false"/>
    </xf>
    <xf numFmtId="164" fontId="39" fillId="6" borderId="1" xfId="0" applyFont="true" applyBorder="true" applyAlignment="true" applyProtection="false">
      <alignment horizontal="general" vertical="top" textRotation="0" wrapText="true" indent="0" shrinkToFit="false"/>
      <protection locked="true" hidden="false"/>
    </xf>
    <xf numFmtId="164" fontId="40" fillId="7"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6" fontId="33" fillId="0" borderId="1"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top" textRotation="0" wrapText="true" indent="0" shrinkToFit="false"/>
      <protection locked="true" hidden="false"/>
    </xf>
    <xf numFmtId="166" fontId="0" fillId="3" borderId="1" xfId="0" applyFont="false" applyBorder="true" applyAlignment="true" applyProtection="false">
      <alignment horizontal="general" vertical="top" textRotation="0" wrapText="true" indent="0" shrinkToFit="false"/>
      <protection locked="true" hidden="false"/>
    </xf>
    <xf numFmtId="164" fontId="0" fillId="3" borderId="1" xfId="0" applyFont="fals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8">
    <dxf>
      <font>
        <name val="Arial"/>
        <charset val="1"/>
        <family val="0"/>
        <b val="1"/>
        <color rgb="FF006100"/>
      </font>
      <fill>
        <patternFill>
          <bgColor rgb="FFC6EFCE"/>
        </patternFill>
      </fill>
    </dxf>
    <dxf>
      <font>
        <name val="Arial"/>
        <charset val="1"/>
        <family val="0"/>
        <b val="1"/>
        <color rgb="FF7F6000"/>
      </font>
      <fill>
        <patternFill>
          <bgColor rgb="FFFFEB9C"/>
        </patternFill>
      </fill>
    </dxf>
    <dxf>
      <font>
        <name val="Arial"/>
        <charset val="1"/>
        <family val="0"/>
        <b val="1"/>
        <color rgb="FF9C0006"/>
      </font>
      <fill>
        <patternFill>
          <bgColor rgb="FFFFC7CE"/>
        </patternFill>
      </fill>
    </dxf>
    <dxf>
      <fill>
        <patternFill patternType="solid">
          <fgColor rgb="FF1F3864"/>
          <bgColor rgb="FF000000"/>
        </patternFill>
      </fill>
    </dxf>
    <dxf>
      <fill>
        <patternFill patternType="solid">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00"/>
          <bgColor rgb="FF000000"/>
        </patternFill>
      </fill>
    </dxf>
    <dxf>
      <fill>
        <patternFill patternType="solid">
          <fgColor rgb="FF006100"/>
          <bgColor rgb="FF000000"/>
        </patternFill>
      </fill>
    </dxf>
    <dxf>
      <fill>
        <patternFill patternType="solid">
          <fgColor rgb="FF7F6000"/>
          <bgColor rgb="FF000000"/>
        </patternFill>
      </fill>
    </dxf>
    <dxf>
      <fill>
        <patternFill patternType="solid">
          <fgColor rgb="FF9C0006"/>
          <bgColor rgb="FF000000"/>
        </patternFill>
      </fill>
    </dxf>
    <dxf>
      <font>
        <name val="Arial"/>
        <charset val="1"/>
        <family val="0"/>
        <color rgb="FF9C0006"/>
      </font>
      <fill>
        <patternFill>
          <bgColor rgb="FFFFC7CE"/>
        </patternFill>
      </fill>
    </dxf>
    <dxf>
      <font>
        <name val="Arial"/>
        <charset val="1"/>
        <family val="0"/>
        <color rgb="FF006100"/>
      </font>
      <fill>
        <patternFill>
          <bgColor rgb="FFC6EFCE"/>
        </patternFill>
      </fill>
    </dxf>
    <dxf>
      <font>
        <name val="Arial"/>
        <charset val="1"/>
        <family val="0"/>
        <color rgb="FF7F6000"/>
      </font>
      <fill>
        <patternFill>
          <bgColor rgb="FFFFEB9C"/>
        </patternFill>
      </fill>
    </dxf>
    <dxf>
      <fill>
        <patternFill patternType="solid">
          <fgColor rgb="FFD9E1F2"/>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4DFEC"/>
          <bgColor rgb="FF000000"/>
        </patternFill>
      </fill>
    </dxf>
    <dxf>
      <fill>
        <patternFill patternType="solid">
          <fgColor rgb="FFEDEDED"/>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D9D2E9"/>
          <bgColor rgb="FF000000"/>
        </patternFill>
      </fill>
    </dxf>
    <dxf>
      <fill>
        <patternFill patternType="solid">
          <fgColor rgb="FFFFD7D7"/>
          <bgColor rgb="FF000000"/>
        </patternFill>
      </fill>
    </dxf>
  </dxfs>
  <colors>
    <indexedColors>
      <rgbColor rgb="FF000000"/>
      <rgbColor rgb="FFFFFFFF"/>
      <rgbColor rgb="FFC00000"/>
      <rgbColor rgb="FF00FF00"/>
      <rgbColor rgb="FF0000FF"/>
      <rgbColor rgb="FFFCE4D6"/>
      <rgbColor rgb="FFFF00FF"/>
      <rgbColor rgb="FF00FFFF"/>
      <rgbColor rgb="FF9C0006"/>
      <rgbColor rgb="FF006100"/>
      <rgbColor rgb="FF000080"/>
      <rgbColor rgb="FF7F6000"/>
      <rgbColor rgb="FF800080"/>
      <rgbColor rgb="FF008080"/>
      <rgbColor rgb="FFBFBFBF"/>
      <rgbColor rgb="FF808080"/>
      <rgbColor rgb="FFEDEDED"/>
      <rgbColor rgb="FF993366"/>
      <rgbColor rgb="FFFFF2CC"/>
      <rgbColor rgb="FFDDEBF7"/>
      <rgbColor rgb="FF660066"/>
      <rgbColor rgb="FFFF8080"/>
      <rgbColor rgb="FF0563C1"/>
      <rgbColor rgb="FFD9D2E9"/>
      <rgbColor rgb="FF000080"/>
      <rgbColor rgb="FFFF00FF"/>
      <rgbColor rgb="FFF2F2F2"/>
      <rgbColor rgb="FF00FFFF"/>
      <rgbColor rgb="FF800080"/>
      <rgbColor rgb="FF800000"/>
      <rgbColor rgb="FF008080"/>
      <rgbColor rgb="FF0000FF"/>
      <rgbColor rgb="FF00CCFF"/>
      <rgbColor rgb="FFE2EFDA"/>
      <rgbColor rgb="FFC6EFCE"/>
      <rgbColor rgb="FFFFEB9C"/>
      <rgbColor rgb="FFD9E1F2"/>
      <rgbColor rgb="FFFFC7CE"/>
      <rgbColor rgb="FFE4DFEC"/>
      <rgbColor rgb="FFF8CBAD"/>
      <rgbColor rgb="FF2F5597"/>
      <rgbColor rgb="FF33CCCC"/>
      <rgbColor rgb="FF99CC00"/>
      <rgbColor rgb="FFFFD7D7"/>
      <rgbColor rgb="FFBF9000"/>
      <rgbColor rgb="FFFF6600"/>
      <rgbColor rgb="FF595959"/>
      <rgbColor rgb="FF7F7F7F"/>
      <rgbColor rgb="FF1F3864"/>
      <rgbColor rgb="FF339966"/>
      <rgbColor rgb="FF003300"/>
      <rgbColor rgb="FF375623"/>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13.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1:F5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4" min="3" style="0" width="30"/>
    <col collapsed="false" customWidth="true" hidden="false" outlineLevel="0" max="6" min="5" style="0" width="22"/>
    <col collapsed="false" customWidth="true" hidden="false" outlineLevel="0" max="7" min="7" style="0" width="2"/>
  </cols>
  <sheetData>
    <row r="1" customFormat="false" ht="36" hidden="false" customHeight="true" outlineLevel="0" collapsed="false">
      <c r="B1" s="1" t="s">
        <v>0</v>
      </c>
      <c r="C1" s="1"/>
      <c r="D1" s="1"/>
      <c r="E1" s="1"/>
      <c r="F1" s="1"/>
    </row>
    <row r="2" customFormat="false" ht="27.75" hidden="false" customHeight="true" outlineLevel="0" collapsed="false">
      <c r="B2" s="2" t="s">
        <v>1</v>
      </c>
      <c r="C2" s="2"/>
      <c r="D2" s="2"/>
      <c r="E2" s="2"/>
      <c r="F2" s="2"/>
    </row>
    <row r="3" customFormat="false" ht="25.5" hidden="false" customHeight="true" outlineLevel="0" collapsed="false">
      <c r="B3" s="3" t="s">
        <v>2</v>
      </c>
      <c r="C3" s="4" t="s">
        <v>3</v>
      </c>
      <c r="D3" s="5" t="s">
        <v>4</v>
      </c>
      <c r="E3" s="6" t="s">
        <v>5</v>
      </c>
      <c r="F3" s="7" t="s">
        <v>6</v>
      </c>
    </row>
    <row r="5" customFormat="false" ht="21.75" hidden="false" customHeight="true" outlineLevel="0" collapsed="false">
      <c r="B5" s="8" t="s">
        <v>7</v>
      </c>
      <c r="C5" s="8"/>
      <c r="D5" s="8"/>
      <c r="E5" s="8"/>
      <c r="F5" s="8"/>
    </row>
    <row r="6" customFormat="false" ht="15" hidden="false" customHeight="false" outlineLevel="0" collapsed="false">
      <c r="B6" s="9" t="s">
        <v>8</v>
      </c>
      <c r="C6" s="10"/>
      <c r="D6" s="10"/>
      <c r="E6" s="10"/>
      <c r="F6" s="10"/>
    </row>
    <row r="7" customFormat="false" ht="15" hidden="false" customHeight="false" outlineLevel="0" collapsed="false">
      <c r="B7" s="9" t="s">
        <v>9</v>
      </c>
      <c r="C7" s="10"/>
      <c r="D7" s="10"/>
      <c r="E7" s="10"/>
      <c r="F7" s="10"/>
    </row>
    <row r="8" customFormat="false" ht="21.75" hidden="false" customHeight="true" outlineLevel="0" collapsed="false">
      <c r="B8" s="9" t="s">
        <v>10</v>
      </c>
      <c r="C8" s="11"/>
      <c r="D8" s="11"/>
      <c r="E8" s="11"/>
      <c r="F8" s="11"/>
    </row>
    <row r="9" customFormat="false" ht="21.75" hidden="false" customHeight="true" outlineLevel="0" collapsed="false">
      <c r="B9" s="9"/>
      <c r="C9" s="11"/>
      <c r="D9" s="11"/>
      <c r="E9" s="11"/>
      <c r="F9" s="11"/>
    </row>
    <row r="10" customFormat="false" ht="21.75" hidden="false" customHeight="true" outlineLevel="0" collapsed="false">
      <c r="B10" s="9"/>
      <c r="C10" s="11"/>
      <c r="D10" s="11"/>
      <c r="E10" s="11"/>
      <c r="F10" s="11"/>
    </row>
    <row r="11" customFormat="false" ht="21.75" hidden="false" customHeight="true" outlineLevel="0" collapsed="false">
      <c r="B11" s="9"/>
      <c r="C11" s="11"/>
      <c r="D11" s="11"/>
      <c r="E11" s="11"/>
      <c r="F11" s="11"/>
    </row>
    <row r="12" customFormat="false" ht="21.75" hidden="false" customHeight="true" outlineLevel="0" collapsed="false">
      <c r="B12" s="9"/>
      <c r="C12" s="11"/>
      <c r="D12" s="11"/>
      <c r="E12" s="11"/>
      <c r="F12" s="11"/>
    </row>
    <row r="13" customFormat="false" ht="21.75" hidden="false" customHeight="true" outlineLevel="0" collapsed="false">
      <c r="B13" s="9"/>
      <c r="C13" s="11"/>
      <c r="D13" s="11"/>
      <c r="E13" s="11"/>
      <c r="F13" s="11"/>
    </row>
    <row r="14" customFormat="false" ht="21.75" hidden="false" customHeight="true" outlineLevel="0" collapsed="false">
      <c r="B14" s="9"/>
      <c r="C14" s="11"/>
      <c r="D14" s="11"/>
      <c r="E14" s="11"/>
      <c r="F14" s="11"/>
    </row>
    <row r="16" customFormat="false" ht="21.75" hidden="false" customHeight="true" outlineLevel="0" collapsed="false">
      <c r="B16" s="8" t="s">
        <v>11</v>
      </c>
      <c r="C16" s="8"/>
      <c r="D16" s="8"/>
      <c r="E16" s="8"/>
      <c r="F16" s="8"/>
    </row>
    <row r="17" customFormat="false" ht="23.85" hidden="false" customHeight="false" outlineLevel="0" collapsed="false">
      <c r="B17" s="9" t="s">
        <v>12</v>
      </c>
      <c r="C17" s="12" t="str">
        <f aca="false">IF($C$6="","",INDEX(Doc_Types!$C$2:$C$77,MATCH($C$6,Doc_Types!$A$2:$A$77,0)))</f>
        <v/>
      </c>
      <c r="D17" s="9" t="s">
        <v>13</v>
      </c>
      <c r="E17" s="13" t="str">
        <f aca="false">IF($C$6="","",INDEX(Doc_Types!$B$2:$B$77,MATCH($C$6,Doc_Types!$A$2:$A$77,0)))</f>
        <v/>
      </c>
      <c r="F17" s="13"/>
    </row>
    <row r="18" customFormat="false" ht="39.75" hidden="false" customHeight="true" outlineLevel="0" collapsed="false">
      <c r="B18" s="9" t="s">
        <v>14</v>
      </c>
      <c r="C18" s="13" t="str">
        <f aca="false">IF($C$6="","",INDEX(Doc_Types!$E$2:$E$77,MATCH($C$6,Doc_Types!$A$2:$A$77,0)))</f>
        <v/>
      </c>
      <c r="D18" s="13"/>
      <c r="E18" s="13"/>
      <c r="F18" s="13"/>
    </row>
    <row r="19" customFormat="false" ht="23.85" hidden="false" customHeight="false" outlineLevel="0" collapsed="false">
      <c r="B19" s="9" t="s">
        <v>15</v>
      </c>
      <c r="C19" s="13" t="str">
        <f aca="false">IF($C$6="","",INDEX(Doc_Types!$D$2:$D$77,MATCH($C$6,Doc_Types!$A$2:$A$77,0)))</f>
        <v/>
      </c>
      <c r="D19" s="13"/>
      <c r="E19" s="13"/>
      <c r="F19" s="13"/>
    </row>
    <row r="20" customFormat="false" ht="23.85" hidden="false" customHeight="false" outlineLevel="0" collapsed="false">
      <c r="B20" s="9" t="s">
        <v>16</v>
      </c>
      <c r="C20" s="14" t="n">
        <f aca="false">SUMPRODUCT(--ISNUMBER(SEARCH(Keywords!$A$2:$A$136,$C$8)),--(Keywords!$A$2:$A$136&lt;&gt;""))</f>
        <v>0</v>
      </c>
      <c r="D20" s="15" t="str">
        <f aca="false">IF($C$17="Yes","(type is controlled regardless of keywords)",IF($C$17="Depends","Escalates to YES at "&amp;$C$40&amp;" or more hit(s)",IF($C$17="No","Escalates to YES at "&amp;$C$41&amp;" or more hit(s)","")))</f>
        <v/>
      </c>
      <c r="E20" s="15"/>
      <c r="F20" s="15"/>
    </row>
    <row r="21" customFormat="false" ht="39.75" hidden="false" customHeight="true" outlineLevel="0" collapsed="false">
      <c r="B21" s="9" t="s">
        <v>17</v>
      </c>
      <c r="C21" s="13" t="str">
        <f aca="false">IF($C$20=0,"none",LEFT(Keywords!$F$136,LEN(Keywords!$F$136)-2))</f>
        <v>none</v>
      </c>
      <c r="D21" s="13"/>
      <c r="E21" s="13"/>
      <c r="F21" s="13"/>
    </row>
    <row r="22" customFormat="false" ht="30" hidden="false" customHeight="true" outlineLevel="0" collapsed="false">
      <c r="B22" s="9" t="s">
        <v>18</v>
      </c>
      <c r="C22" s="13" t="str">
        <f aca="false">IF($C$20=0,"—",LEFT(Keywords!$G$136,LEN(Keywords!$G$136)-2))</f>
        <v>—</v>
      </c>
      <c r="D22" s="13"/>
      <c r="E22" s="13"/>
      <c r="F22" s="13"/>
    </row>
    <row r="24" customFormat="false" ht="43.5" hidden="false" customHeight="true" outlineLevel="0" collapsed="false">
      <c r="B24" s="16" t="s">
        <v>19</v>
      </c>
      <c r="C24" s="17" t="str">
        <f aca="false">IF($C$6="","— select a document type —",IF($C$17="Yes","YES",IF($C$17="Depends",IF($C$20&gt;=$C$40,"YES","NO"),IF($C$20&gt;=$C$41,"YES","NO"))))</f>
        <v>— select a document type —</v>
      </c>
      <c r="D24" s="17"/>
      <c r="E24" s="18" t="str">
        <f aca="false">IF($C$24="YES","Permit required before ANY transfer abroad or to a foreign person",IF($C$24="NO","No export permit needed for this document itself",""))</f>
        <v/>
      </c>
      <c r="F24" s="18"/>
    </row>
    <row r="25" customFormat="false" ht="30" hidden="false" customHeight="true" outlineLevel="0" collapsed="false">
      <c r="B25" s="9" t="s">
        <v>20</v>
      </c>
      <c r="C25" s="19" t="str">
        <f aca="false">IF($C$6="","",IF($C$17="Yes","Document type '"&amp;$C$6&amp;"' is by default EXPORT CONTROLLED. "&amp;$C$18&amp;" (Wassenaar ML22 'technology'; NCAC Act s1 'conventional arms' includes technology.)",IF($C$24="YES","Document type '"&amp;$C$6&amp;"' is by default '"&amp;$C$17&amp;"', BUT the scope text contains "&amp;$C$20&amp;" controlled technical term(s): "&amp;$C$21&amp;". Classification follows CONTENT, not title — technical data for a Munitions List item is 'technology' (Wassenaar ML22; NCAC Act s1).","Document type '"&amp;$C$6&amp;"' is by default '"&amp;$C$17&amp;"' ("&amp;$C$18&amp;") and the scope text contains "&amp;$C$20&amp;" controlled technical term(s), below the escalation threshold. No 'technology' (specific information necessary for development, production or use of a controlled item) identified.")))</f>
        <v/>
      </c>
      <c r="D25" s="19"/>
      <c r="E25" s="19"/>
      <c r="F25" s="19"/>
    </row>
    <row r="26" customFormat="false" ht="30" hidden="false" customHeight="true" outlineLevel="0" collapsed="false">
      <c r="C26" s="19"/>
      <c r="D26" s="19"/>
      <c r="E26" s="19"/>
      <c r="F26" s="19"/>
    </row>
    <row r="27" customFormat="false" ht="30" hidden="false" customHeight="true" outlineLevel="0" collapsed="false">
      <c r="C27" s="19"/>
      <c r="D27" s="19"/>
      <c r="E27" s="19"/>
      <c r="F27" s="19"/>
    </row>
    <row r="28" customFormat="false" ht="30" hidden="false" customHeight="true" outlineLevel="0" collapsed="false">
      <c r="B28" s="9" t="s">
        <v>21</v>
      </c>
      <c r="C28" s="19" t="str">
        <f aca="false">IF($C$6="","",IF($C$24="YES","Controlled item (technology) — NCAC Act 41 of 2002 s1, s13, s14; SA Controlled Items Schedule GN 321/2012; Wassenaar Munitions List "&amp;$C$19&amp;IF($C$20&gt;0," and "&amp;$C$22,"")&amp;". Dual-use entries (3A/5A/6A/7A…) additionally fall under the Non-Proliferation Act 87/1993 (NPC permit).","Not a controlled item under the SA Controlled Items Schedule / Wassenaar Lists — no 'technology' as defined. NOTE: if this document is used to MARKET conventional arms abroad (brochure, proposal, tender) the activity itself still needs an NCACC marketing permit (NCAC Act s1, s13)."))</f>
        <v/>
      </c>
      <c r="D28" s="19"/>
      <c r="E28" s="19"/>
      <c r="F28" s="19"/>
    </row>
    <row r="29" customFormat="false" ht="30" hidden="false" customHeight="true" outlineLevel="0" collapsed="false">
      <c r="C29" s="19"/>
      <c r="D29" s="19"/>
      <c r="E29" s="19"/>
      <c r="F29" s="19"/>
    </row>
    <row r="30" customFormat="false" ht="33.75" hidden="false" customHeight="true" outlineLevel="0" collapsed="false">
      <c r="B30" s="9" t="s">
        <v>22</v>
      </c>
      <c r="C30" s="19" t="str">
        <f aca="false">IF($C$6="","",IF(LEFT($C$36,2)="NO",Markings_QA!$B$6,IF(LEFT($C$36,4)="DUAL",Markings_QA!$B$7,Markings_QA!$B$5)))</f>
        <v/>
      </c>
      <c r="D30" s="19"/>
      <c r="E30" s="19"/>
      <c r="F30" s="19"/>
    </row>
    <row r="31" customFormat="false" ht="33.75" hidden="false" customHeight="true" outlineLevel="0" collapsed="false">
      <c r="C31" s="19"/>
      <c r="D31" s="19"/>
      <c r="E31" s="19"/>
      <c r="F31" s="19"/>
    </row>
    <row r="33" customFormat="false" ht="21.75" hidden="false" customHeight="true" outlineLevel="0" collapsed="false">
      <c r="B33" s="8" t="s">
        <v>23</v>
      </c>
      <c r="C33" s="8"/>
      <c r="D33" s="8"/>
      <c r="E33" s="8"/>
      <c r="F33" s="8"/>
    </row>
    <row r="34" customFormat="false" ht="48" hidden="false" customHeight="true" outlineLevel="0" collapsed="false">
      <c r="B34" s="9" t="s">
        <v>24</v>
      </c>
      <c r="C34" s="13" t="str">
        <f aca="false">IF($C$6="","Select a document type in Step 1.",IF($C$24="YES","Apply the EXPORT CONTROLLED marking. If the author believes the document should NOT be export controlled, go to the Mitigation tab (link on the right) and enter 1 to 3 grounds — the tool will tell you whether a downgrade is possible.","Apply the NOT EXPORT CONTROLLED marking and log the decision in the Register tab. No mitigation needed."))</f>
        <v>Select a document type in Step 1.</v>
      </c>
      <c r="D34" s="13"/>
      <c r="E34" s="13"/>
      <c r="F34" s="20" t="s">
        <v>25</v>
      </c>
    </row>
    <row r="35" customFormat="false" ht="48" hidden="false" customHeight="true" outlineLevel="0" collapsed="false">
      <c r="B35" s="9" t="s">
        <v>26</v>
      </c>
      <c r="C35" s="21" t="str">
        <f aca="false">IF($C$24&lt;&gt;"YES","n/a",IF(Mitigation!$C$16="NONE","none entered yet",Mitigation!$C$16))</f>
        <v>n/a</v>
      </c>
      <c r="D35" s="21"/>
      <c r="E35" s="22" t="str">
        <f aca="false">IF($C$24&lt;&gt;"YES","",Mitigation!$C$15)</f>
        <v/>
      </c>
      <c r="F35" s="22"/>
    </row>
    <row r="36" customFormat="false" ht="39.75" hidden="false" customHeight="true" outlineLevel="0" collapsed="false">
      <c r="B36" s="16" t="s">
        <v>27</v>
      </c>
      <c r="C36" s="23" t="str">
        <f aca="false">IF($C$24&lt;&gt;"YES",$C$24,IF(AND(Mitigation!$C$16="ACCEPTED",Mitigation!$J$21="Confirm downgrade to NOT EXPORT CONTROLLED"),"NO — downgraded (ECO signed off)",IF(Mitigation!$C$16="ACCEPTED","YES — downgrade accepted, awaiting ECO sign-off",IF(Mitigation!$J$21="Re-classify as DUAL-USE CONTROLLED (NPC)","DUAL-USE CONTROLLED (NPC permit)","YES"))))</f>
        <v>— select a document type —</v>
      </c>
      <c r="D36" s="23"/>
      <c r="E36" s="18" t="str">
        <f aca="false">IF(LEFT($C$36,3)="YES","Document stays under NCACC permit control.",IF(LEFT($C$36,2)="NO","Document may be released without an export permit (marketing activity may still need one).",IF(LEFT($C$36,4)="DUAL","Route to the NPC (dtic) permit process.","")))</f>
        <v/>
      </c>
      <c r="F36" s="18"/>
    </row>
    <row r="38" customFormat="false" ht="21.75" hidden="false" customHeight="true" outlineLevel="0" collapsed="false">
      <c r="B38" s="24" t="s">
        <v>28</v>
      </c>
      <c r="C38" s="24"/>
      <c r="D38" s="24"/>
      <c r="E38" s="24"/>
      <c r="F38" s="24"/>
    </row>
    <row r="39" customFormat="false" ht="15" hidden="false" customHeight="true" outlineLevel="0" collapsed="false">
      <c r="B39" s="9" t="s">
        <v>29</v>
      </c>
      <c r="C39" s="9" t="s">
        <v>30</v>
      </c>
      <c r="D39" s="9" t="s">
        <v>31</v>
      </c>
      <c r="E39" s="9"/>
      <c r="F39" s="9"/>
    </row>
    <row r="40" customFormat="false" ht="30" hidden="false" customHeight="true" outlineLevel="0" collapsed="false">
      <c r="B40" s="9" t="s">
        <v>32</v>
      </c>
      <c r="C40" s="25" t="n">
        <v>1</v>
      </c>
      <c r="D40" s="13" t="s">
        <v>33</v>
      </c>
      <c r="E40" s="13"/>
      <c r="F40" s="13"/>
    </row>
    <row r="41" customFormat="false" ht="30" hidden="false" customHeight="true" outlineLevel="0" collapsed="false">
      <c r="B41" s="9" t="s">
        <v>34</v>
      </c>
      <c r="C41" s="25" t="n">
        <v>2</v>
      </c>
      <c r="D41" s="13" t="s">
        <v>35</v>
      </c>
      <c r="E41" s="13"/>
      <c r="F41" s="13"/>
    </row>
    <row r="42" customFormat="false" ht="15" hidden="false" customHeight="true" outlineLevel="0" collapsed="false">
      <c r="B42" s="9" t="s">
        <v>36</v>
      </c>
      <c r="C42" s="13" t="s">
        <v>37</v>
      </c>
      <c r="D42" s="13"/>
      <c r="E42" s="13"/>
      <c r="F42" s="13"/>
    </row>
    <row r="44" customFormat="false" ht="21.75" hidden="false" customHeight="true" outlineLevel="0" collapsed="false">
      <c r="B44" s="24" t="s">
        <v>38</v>
      </c>
      <c r="C44" s="24"/>
      <c r="D44" s="24"/>
      <c r="E44" s="24"/>
      <c r="F44" s="24"/>
    </row>
    <row r="45" customFormat="false" ht="18" hidden="false" customHeight="true" outlineLevel="0" collapsed="false">
      <c r="B45" s="26" t="s">
        <v>39</v>
      </c>
      <c r="C45" s="26"/>
      <c r="D45" s="26"/>
      <c r="E45" s="26"/>
      <c r="F45" s="26"/>
    </row>
    <row r="46" customFormat="false" ht="18" hidden="false" customHeight="true" outlineLevel="0" collapsed="false">
      <c r="B46" s="26" t="s">
        <v>40</v>
      </c>
      <c r="C46" s="26"/>
      <c r="D46" s="26"/>
      <c r="E46" s="26"/>
      <c r="F46" s="26"/>
    </row>
    <row r="47" customFormat="false" ht="18" hidden="false" customHeight="true" outlineLevel="0" collapsed="false">
      <c r="B47" s="26" t="s">
        <v>41</v>
      </c>
      <c r="C47" s="26"/>
      <c r="D47" s="26"/>
      <c r="E47" s="26"/>
      <c r="F47" s="26"/>
    </row>
    <row r="48" customFormat="false" ht="18" hidden="false" customHeight="true" outlineLevel="0" collapsed="false">
      <c r="B48" s="26" t="s">
        <v>42</v>
      </c>
      <c r="C48" s="26"/>
      <c r="D48" s="26"/>
      <c r="E48" s="26"/>
      <c r="F48" s="26"/>
    </row>
    <row r="49" customFormat="false" ht="18" hidden="false" customHeight="true" outlineLevel="0" collapsed="false">
      <c r="B49" s="26" t="s">
        <v>43</v>
      </c>
      <c r="C49" s="26"/>
      <c r="D49" s="26"/>
      <c r="E49" s="26"/>
      <c r="F49" s="26"/>
    </row>
    <row r="50" customFormat="false" ht="18" hidden="false" customHeight="true" outlineLevel="0" collapsed="false">
      <c r="B50" s="27" t="s">
        <v>44</v>
      </c>
      <c r="C50" s="27"/>
      <c r="D50" s="27"/>
      <c r="E50" s="27"/>
      <c r="F50" s="27"/>
    </row>
  </sheetData>
  <mergeCells count="37">
    <mergeCell ref="B1:F1"/>
    <mergeCell ref="B2:F2"/>
    <mergeCell ref="B5:F5"/>
    <mergeCell ref="C6:F6"/>
    <mergeCell ref="C7:F7"/>
    <mergeCell ref="B8:B14"/>
    <mergeCell ref="C8:F14"/>
    <mergeCell ref="B16:F16"/>
    <mergeCell ref="E17:F17"/>
    <mergeCell ref="C18:F18"/>
    <mergeCell ref="C19:F19"/>
    <mergeCell ref="D20:F20"/>
    <mergeCell ref="C21:F21"/>
    <mergeCell ref="C22:F22"/>
    <mergeCell ref="C24:D24"/>
    <mergeCell ref="E24:F24"/>
    <mergeCell ref="C25:F27"/>
    <mergeCell ref="C28:F29"/>
    <mergeCell ref="C30:F31"/>
    <mergeCell ref="B33:F33"/>
    <mergeCell ref="C34:E34"/>
    <mergeCell ref="C35:D35"/>
    <mergeCell ref="E35:F35"/>
    <mergeCell ref="C36:D36"/>
    <mergeCell ref="E36:F36"/>
    <mergeCell ref="B38:F38"/>
    <mergeCell ref="D39:F39"/>
    <mergeCell ref="D40:F40"/>
    <mergeCell ref="D41:F41"/>
    <mergeCell ref="C42:F42"/>
    <mergeCell ref="B44:F44"/>
    <mergeCell ref="B45:F45"/>
    <mergeCell ref="B46:F46"/>
    <mergeCell ref="B47:F47"/>
    <mergeCell ref="B48:F48"/>
    <mergeCell ref="B49:F49"/>
    <mergeCell ref="B50:F50"/>
  </mergeCells>
  <conditionalFormatting sqref="C24:D24">
    <cfRule type="expression" priority="2" aboveAverage="0" equalAverage="0" bottom="0" percent="0" rank="0" text="" dxfId="0">
      <formula>ISNUMBER(SEARCH("ACCEPTED",C24))</formula>
    </cfRule>
    <cfRule type="expression" priority="3" aboveAverage="0" equalAverage="0" bottom="0" percent="0" rank="0" text="" dxfId="1">
      <formula>ISNUMBER(SEARCH("CONDITION",C24))</formula>
    </cfRule>
    <cfRule type="expression" priority="4" aboveAverage="0" equalAverage="0" bottom="0" percent="0" rank="0" text="" dxfId="1">
      <formula>ISNUMBER(SEARCH("INCOMPLETE",C24))</formula>
    </cfRule>
    <cfRule type="expression" priority="5" aboveAverage="0" equalAverage="0" bottom="0" percent="0" rank="0" text="" dxfId="1">
      <formula>ISNUMBER(SEARCH("REVIEW",C24))</formula>
    </cfRule>
    <cfRule type="expression" priority="6" aboveAverage="0" equalAverage="0" bottom="0" percent="0" rank="0" text="" dxfId="2">
      <formula>ISNUMBER(SEARCH("REJECTED",C24))</formula>
    </cfRule>
    <cfRule type="expression" priority="7" aboveAverage="0" equalAverage="0" bottom="0" percent="0" rank="0" text="" dxfId="2">
      <formula>ISNUMBER(SEARCH("REMAINS EXPORT CONTROLLED",C24))</formula>
    </cfRule>
    <cfRule type="expression" priority="8" aboveAverage="0" equalAverage="0" bottom="0" percent="0" rank="0" text="" dxfId="0">
      <formula>LEFT(C24,2)="NO"</formula>
    </cfRule>
    <cfRule type="expression" priority="9" aboveAverage="0" equalAverage="0" bottom="0" percent="0" rank="0" text="" dxfId="2">
      <formula>LEFT(C24,3)="YES"</formula>
    </cfRule>
    <cfRule type="expression" priority="10" aboveAverage="0" equalAverage="0" bottom="0" percent="0" rank="0" text="" dxfId="1">
      <formula>LEFT(C24,4)="DUAL"</formula>
    </cfRule>
  </conditionalFormatting>
  <conditionalFormatting sqref="C30:F31">
    <cfRule type="expression" priority="11" aboveAverage="0" equalAverage="0" bottom="0" percent="0" rank="0" text="" dxfId="0">
      <formula>ISNUMBER(SEARCH("ACCEPTED",C30))</formula>
    </cfRule>
    <cfRule type="expression" priority="12" aboveAverage="0" equalAverage="0" bottom="0" percent="0" rank="0" text="" dxfId="1">
      <formula>ISNUMBER(SEARCH("CONDITION",C30))</formula>
    </cfRule>
    <cfRule type="expression" priority="13" aboveAverage="0" equalAverage="0" bottom="0" percent="0" rank="0" text="" dxfId="1">
      <formula>ISNUMBER(SEARCH("INCOMPLETE",C30))</formula>
    </cfRule>
    <cfRule type="expression" priority="14" aboveAverage="0" equalAverage="0" bottom="0" percent="0" rank="0" text="" dxfId="1">
      <formula>ISNUMBER(SEARCH("REVIEW",C30))</formula>
    </cfRule>
    <cfRule type="expression" priority="15" aboveAverage="0" equalAverage="0" bottom="0" percent="0" rank="0" text="" dxfId="2">
      <formula>ISNUMBER(SEARCH("REJECTED",C30))</formula>
    </cfRule>
    <cfRule type="expression" priority="16" aboveAverage="0" equalAverage="0" bottom="0" percent="0" rank="0" text="" dxfId="2">
      <formula>ISNUMBER(SEARCH("REMAINS EXPORT CONTROLLED",C30))</formula>
    </cfRule>
    <cfRule type="expression" priority="17" aboveAverage="0" equalAverage="0" bottom="0" percent="0" rank="0" text="" dxfId="0">
      <formula>LEFT(C30,2)="NO"</formula>
    </cfRule>
    <cfRule type="expression" priority="18" aboveAverage="0" equalAverage="0" bottom="0" percent="0" rank="0" text="" dxfId="2">
      <formula>LEFT(C30,3)="YES"</formula>
    </cfRule>
    <cfRule type="expression" priority="19" aboveAverage="0" equalAverage="0" bottom="0" percent="0" rank="0" text="" dxfId="1">
      <formula>LEFT(C30,4)="DUAL"</formula>
    </cfRule>
  </conditionalFormatting>
  <conditionalFormatting sqref="C35:D35">
    <cfRule type="expression" priority="20" aboveAverage="0" equalAverage="0" bottom="0" percent="0" rank="0" text="" dxfId="0">
      <formula>ISNUMBER(SEARCH("ACCEPTED",C35))</formula>
    </cfRule>
    <cfRule type="expression" priority="21" aboveAverage="0" equalAverage="0" bottom="0" percent="0" rank="0" text="" dxfId="1">
      <formula>ISNUMBER(SEARCH("CONDITION",C35))</formula>
    </cfRule>
    <cfRule type="expression" priority="22" aboveAverage="0" equalAverage="0" bottom="0" percent="0" rank="0" text="" dxfId="1">
      <formula>ISNUMBER(SEARCH("INCOMPLETE",C35))</formula>
    </cfRule>
    <cfRule type="expression" priority="23" aboveAverage="0" equalAverage="0" bottom="0" percent="0" rank="0" text="" dxfId="1">
      <formula>ISNUMBER(SEARCH("REVIEW",C35))</formula>
    </cfRule>
    <cfRule type="expression" priority="24" aboveAverage="0" equalAverage="0" bottom="0" percent="0" rank="0" text="" dxfId="2">
      <formula>ISNUMBER(SEARCH("REJECTED",C35))</formula>
    </cfRule>
    <cfRule type="expression" priority="25" aboveAverage="0" equalAverage="0" bottom="0" percent="0" rank="0" text="" dxfId="2">
      <formula>ISNUMBER(SEARCH("REMAINS EXPORT CONTROLLED",C35))</formula>
    </cfRule>
    <cfRule type="expression" priority="26" aboveAverage="0" equalAverage="0" bottom="0" percent="0" rank="0" text="" dxfId="0">
      <formula>LEFT(C35,2)="NO"</formula>
    </cfRule>
    <cfRule type="expression" priority="27" aboveAverage="0" equalAverage="0" bottom="0" percent="0" rank="0" text="" dxfId="2">
      <formula>LEFT(C35,3)="YES"</formula>
    </cfRule>
    <cfRule type="expression" priority="28" aboveAverage="0" equalAverage="0" bottom="0" percent="0" rank="0" text="" dxfId="1">
      <formula>LEFT(C35,4)="DUAL"</formula>
    </cfRule>
  </conditionalFormatting>
  <conditionalFormatting sqref="C36:D36">
    <cfRule type="expression" priority="29" aboveAverage="0" equalAverage="0" bottom="0" percent="0" rank="0" text="" dxfId="0">
      <formula>ISNUMBER(SEARCH("ACCEPTED",C36))</formula>
    </cfRule>
    <cfRule type="expression" priority="30" aboveAverage="0" equalAverage="0" bottom="0" percent="0" rank="0" text="" dxfId="1">
      <formula>ISNUMBER(SEARCH("CONDITION",C36))</formula>
    </cfRule>
    <cfRule type="expression" priority="31" aboveAverage="0" equalAverage="0" bottom="0" percent="0" rank="0" text="" dxfId="1">
      <formula>ISNUMBER(SEARCH("INCOMPLETE",C36))</formula>
    </cfRule>
    <cfRule type="expression" priority="32" aboveAverage="0" equalAverage="0" bottom="0" percent="0" rank="0" text="" dxfId="1">
      <formula>ISNUMBER(SEARCH("REVIEW",C36))</formula>
    </cfRule>
    <cfRule type="expression" priority="33" aboveAverage="0" equalAverage="0" bottom="0" percent="0" rank="0" text="" dxfId="2">
      <formula>ISNUMBER(SEARCH("REJECTED",C36))</formula>
    </cfRule>
    <cfRule type="expression" priority="34" aboveAverage="0" equalAverage="0" bottom="0" percent="0" rank="0" text="" dxfId="2">
      <formula>ISNUMBER(SEARCH("REMAINS EXPORT CONTROLLED",C36))</formula>
    </cfRule>
    <cfRule type="expression" priority="35" aboveAverage="0" equalAverage="0" bottom="0" percent="0" rank="0" text="" dxfId="0">
      <formula>LEFT(C36,2)="NO"</formula>
    </cfRule>
    <cfRule type="expression" priority="36" aboveAverage="0" equalAverage="0" bottom="0" percent="0" rank="0" text="" dxfId="2">
      <formula>LEFT(C36,3)="YES"</formula>
    </cfRule>
    <cfRule type="expression" priority="37" aboveAverage="0" equalAverage="0" bottom="0" percent="0" rank="0" text="" dxfId="1">
      <formula>LEFT(C36,4)="DUAL"</formula>
    </cfRule>
  </conditionalFormatting>
  <dataValidations count="1">
    <dataValidation allowBlank="true" error="Choose a document type from the list (maintained on the Doc_Types tab)." errorStyle="stop" errorTitle="Document type" operator="between" showDropDown="false" showErrorMessage="true" showInputMessage="false" sqref="C6" type="list">
      <formula1>DocTypeList</formula1>
      <formula2>0</formula2>
    </dataValidation>
  </dataValidations>
  <hyperlinks>
    <hyperlink ref="F34" location="'Mitigation'!C10" display="➜ Go to Mitigation tab"/>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1:K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44"/>
    <col collapsed="false" customWidth="true" hidden="false" outlineLevel="0" max="4" min="4" style="0" width="40"/>
    <col collapsed="false" customWidth="true" hidden="false" outlineLevel="0" max="5" min="5" style="0" width="30"/>
    <col collapsed="false" customWidth="true" hidden="false" outlineLevel="0" max="6" min="6" style="0" width="16"/>
    <col collapsed="false" customWidth="true" hidden="false" outlineLevel="0" max="7" min="7" style="0" width="60"/>
    <col collapsed="false" customWidth="true" hidden="false" outlineLevel="0" max="8" min="8" style="0" width="18"/>
    <col collapsed="false" customWidth="true" hidden="false" outlineLevel="0" max="9" min="9" style="0" width="2"/>
    <col collapsed="false" customWidth="true" hidden="true" outlineLevel="0" max="11" min="10" style="0" width="12"/>
  </cols>
  <sheetData>
    <row r="1" customFormat="false" ht="36" hidden="false" customHeight="true" outlineLevel="0" collapsed="false">
      <c r="B1" s="1" t="s">
        <v>45</v>
      </c>
      <c r="C1" s="1"/>
      <c r="D1" s="1"/>
      <c r="E1" s="1"/>
      <c r="F1" s="1"/>
      <c r="G1" s="1"/>
      <c r="H1" s="1"/>
    </row>
    <row r="2" customFormat="false" ht="30" hidden="false" customHeight="true" outlineLevel="0" collapsed="false">
      <c r="B2" s="2" t="s">
        <v>46</v>
      </c>
      <c r="C2" s="2"/>
      <c r="D2" s="2"/>
      <c r="E2" s="2"/>
      <c r="F2" s="2"/>
      <c r="G2" s="2"/>
      <c r="H2" s="2"/>
    </row>
    <row r="3" customFormat="false" ht="21.75" hidden="false" customHeight="true" outlineLevel="0" collapsed="false">
      <c r="B3" s="9" t="s">
        <v>47</v>
      </c>
      <c r="C3" s="28" t="str">
        <f aca="false">IF(Classify!$C$6="","— none selected on Classify tab —",Classify!$C$6&amp;IF(Classify!$C$7&lt;&gt;"","  |  "&amp;Classify!$C$7,""))</f>
        <v>— none selected on Classify tab —</v>
      </c>
      <c r="D3" s="28"/>
      <c r="E3" s="28"/>
      <c r="F3" s="29" t="s">
        <v>48</v>
      </c>
      <c r="G3" s="30" t="str">
        <f aca="false">Classify!$C$21</f>
        <v>none</v>
      </c>
      <c r="H3" s="30"/>
    </row>
    <row r="4" customFormat="false" ht="15" hidden="false" customHeight="false" outlineLevel="0" collapsed="false">
      <c r="B4" s="9" t="s">
        <v>49</v>
      </c>
      <c r="C4" s="31" t="str">
        <f aca="false">Classify!$C$24</f>
        <v>— select a document type —</v>
      </c>
      <c r="D4" s="9" t="s">
        <v>50</v>
      </c>
      <c r="E4" s="32" t="n">
        <f aca="false">Classify!$C$20</f>
        <v>0</v>
      </c>
      <c r="G4" s="30"/>
      <c r="H4" s="30"/>
    </row>
    <row r="5" customFormat="false" ht="15" hidden="false" customHeight="false" outlineLevel="0" collapsed="false">
      <c r="B5" s="33" t="s">
        <v>51</v>
      </c>
      <c r="C5" s="34" t="n">
        <f aca="false">Classify!$C$20</f>
        <v>0</v>
      </c>
      <c r="D5" s="9" t="s">
        <v>52</v>
      </c>
      <c r="E5" s="32" t="str">
        <f aca="false">Classify!$C$17</f>
        <v/>
      </c>
      <c r="G5" s="30"/>
      <c r="H5" s="30"/>
    </row>
    <row r="6" customFormat="false" ht="15" hidden="false" customHeight="false" outlineLevel="0" collapsed="false">
      <c r="B6" s="33" t="s">
        <v>53</v>
      </c>
      <c r="C6" s="34" t="str">
        <f aca="false">Classify!$C$17</f>
        <v/>
      </c>
    </row>
    <row r="8" customFormat="false" ht="21.75" hidden="false" customHeight="true" outlineLevel="0" collapsed="false">
      <c r="B8" s="8" t="s">
        <v>54</v>
      </c>
      <c r="C8" s="8"/>
      <c r="D8" s="8"/>
      <c r="E8" s="8"/>
      <c r="F8" s="8"/>
      <c r="G8" s="8"/>
      <c r="H8" s="8"/>
    </row>
    <row r="9" customFormat="false" ht="30" hidden="false" customHeight="true" outlineLevel="0" collapsed="false">
      <c r="B9" s="35" t="s">
        <v>55</v>
      </c>
      <c r="C9" s="35" t="s">
        <v>56</v>
      </c>
      <c r="D9" s="35" t="s">
        <v>57</v>
      </c>
      <c r="E9" s="35" t="s">
        <v>58</v>
      </c>
      <c r="F9" s="35" t="s">
        <v>59</v>
      </c>
      <c r="G9" s="35" t="s">
        <v>60</v>
      </c>
      <c r="H9" s="35" t="s">
        <v>61</v>
      </c>
    </row>
    <row r="10" customFormat="false" ht="109.5" hidden="false" customHeight="true" outlineLevel="0" collapsed="false">
      <c r="B10" s="31" t="n">
        <v>1</v>
      </c>
      <c r="C10" s="25"/>
      <c r="D10" s="25"/>
      <c r="E10" s="25"/>
      <c r="F10" s="36" t="str">
        <f aca="false">IF($C10="","",IF($D10="","INCOMPLETE",IF($J10="NONE",$K10,IF($J10="EVIDENCE",IF($E10&lt;&gt;"","ACCEPTED","CONDITIONAL"),IF($J10="NOHITS",IF($C$6="Yes","REJECTED",IF($C$5&gt;0,"REJECTED","ACCEPTED")),IF($J10="NOTPRODUCT",IF($C$6="Yes","REJECTED","CONDITIONAL"),IF($J10="REVIEW","CONDITIONAL",$K10)))))))</f>
        <v/>
      </c>
      <c r="G10" s="37" t="str">
        <f aca="false">IF($C10="","",IF($F10="INCOMPLETE","Write the author's justification in column D — an outcome is only given for a stated case.",IF($F10="ACCEPTED",INDEX(Mitigation_Grounds!$E$2:$E$17,MATCH($C10,Mitigation_Grounds!$B$2:$B$17,0)),IF($F10="CONDITIONAL",INDEX(Mitigation_Grounds!$F$2:$F$17,MATCH($C10,Mitigation_Grounds!$B$2:$B$17,0)),INDEX(Mitigation_Grounds!$G$2:$G$17,MATCH($C10,Mitigation_Grounds!$B$2:$B$17,0))&amp;IF(AND($J10="NOHITS",$C$5&gt;0)," Keywords found in the scope text: "&amp;Classify!$C$21,"")))))</f>
        <v/>
      </c>
      <c r="H10" s="32" t="str">
        <f aca="false">IF($C10="","",INDEX(Mitigation_Grounds!$I$2:$I$17,MATCH($C10,Mitigation_Grounds!$B$2:$B$17,0)))</f>
        <v/>
      </c>
      <c r="J10" s="38" t="str">
        <f aca="false">IF($C10="","",INDEX(Mitigation_Grounds!$C$2:$C$17,MATCH($C10,Mitigation_Grounds!$B$2:$B$17,0)))</f>
        <v/>
      </c>
      <c r="K10" s="38" t="str">
        <f aca="false">IF($C10="","",INDEX(Mitigation_Grounds!$D$2:$D$17,MATCH($C10,Mitigation_Grounds!$B$2:$B$17,0)))</f>
        <v/>
      </c>
    </row>
    <row r="11" customFormat="false" ht="109.5" hidden="false" customHeight="true" outlineLevel="0" collapsed="false">
      <c r="B11" s="31" t="n">
        <v>2</v>
      </c>
      <c r="C11" s="25"/>
      <c r="D11" s="25"/>
      <c r="E11" s="25"/>
      <c r="F11" s="36" t="str">
        <f aca="false">IF($C11="","",IF($D11="","INCOMPLETE",IF($J11="NONE",$K11,IF($J11="EVIDENCE",IF($E11&lt;&gt;"","ACCEPTED","CONDITIONAL"),IF($J11="NOHITS",IF($C$6="Yes","REJECTED",IF($C$5&gt;0,"REJECTED","ACCEPTED")),IF($J11="NOTPRODUCT",IF($C$6="Yes","REJECTED","CONDITIONAL"),IF($J11="REVIEW","CONDITIONAL",$K11)))))))</f>
        <v/>
      </c>
      <c r="G11" s="37" t="str">
        <f aca="false">IF($C11="","",IF($F11="INCOMPLETE","Write the author's justification in column D — an outcome is only given for a stated case.",IF($F11="ACCEPTED",INDEX(Mitigation_Grounds!$E$2:$E$17,MATCH($C11,Mitigation_Grounds!$B$2:$B$17,0)),IF($F11="CONDITIONAL",INDEX(Mitigation_Grounds!$F$2:$F$17,MATCH($C11,Mitigation_Grounds!$B$2:$B$17,0)),INDEX(Mitigation_Grounds!$G$2:$G$17,MATCH($C11,Mitigation_Grounds!$B$2:$B$17,0))&amp;IF(AND($J11="NOHITS",$C$5&gt;0)," Keywords found in the scope text: "&amp;Classify!$C$21,"")))))</f>
        <v/>
      </c>
      <c r="H11" s="32" t="str">
        <f aca="false">IF($C11="","",INDEX(Mitigation_Grounds!$I$2:$I$17,MATCH($C11,Mitigation_Grounds!$B$2:$B$17,0)))</f>
        <v/>
      </c>
      <c r="J11" s="38" t="str">
        <f aca="false">IF($C11="","",INDEX(Mitigation_Grounds!$C$2:$C$17,MATCH($C11,Mitigation_Grounds!$B$2:$B$17,0)))</f>
        <v/>
      </c>
      <c r="K11" s="38" t="str">
        <f aca="false">IF($C11="","",INDEX(Mitigation_Grounds!$D$2:$D$17,MATCH($C11,Mitigation_Grounds!$B$2:$B$17,0)))</f>
        <v/>
      </c>
    </row>
    <row r="12" customFormat="false" ht="109.5" hidden="false" customHeight="true" outlineLevel="0" collapsed="false">
      <c r="B12" s="31" t="n">
        <v>3</v>
      </c>
      <c r="C12" s="25"/>
      <c r="D12" s="25"/>
      <c r="E12" s="25"/>
      <c r="F12" s="36" t="str">
        <f aca="false">IF($C12="","",IF($D12="","INCOMPLETE",IF($J12="NONE",$K12,IF($J12="EVIDENCE",IF($E12&lt;&gt;"","ACCEPTED","CONDITIONAL"),IF($J12="NOHITS",IF($C$6="Yes","REJECTED",IF($C$5&gt;0,"REJECTED","ACCEPTED")),IF($J12="NOTPRODUCT",IF($C$6="Yes","REJECTED","CONDITIONAL"),IF($J12="REVIEW","CONDITIONAL",$K12)))))))</f>
        <v/>
      </c>
      <c r="G12" s="37" t="str">
        <f aca="false">IF($C12="","",IF($F12="INCOMPLETE","Write the author's justification in column D — an outcome is only given for a stated case.",IF($F12="ACCEPTED",INDEX(Mitigation_Grounds!$E$2:$E$17,MATCH($C12,Mitigation_Grounds!$B$2:$B$17,0)),IF($F12="CONDITIONAL",INDEX(Mitigation_Grounds!$F$2:$F$17,MATCH($C12,Mitigation_Grounds!$B$2:$B$17,0)),INDEX(Mitigation_Grounds!$G$2:$G$17,MATCH($C12,Mitigation_Grounds!$B$2:$B$17,0))&amp;IF(AND($J12="NOHITS",$C$5&gt;0)," Keywords found in the scope text: "&amp;Classify!$C$21,"")))))</f>
        <v/>
      </c>
      <c r="H12" s="32" t="str">
        <f aca="false">IF($C12="","",INDEX(Mitigation_Grounds!$I$2:$I$17,MATCH($C12,Mitigation_Grounds!$B$2:$B$17,0)))</f>
        <v/>
      </c>
      <c r="J12" s="38" t="str">
        <f aca="false">IF($C12="","",INDEX(Mitigation_Grounds!$C$2:$C$17,MATCH($C12,Mitigation_Grounds!$B$2:$B$17,0)))</f>
        <v/>
      </c>
      <c r="K12" s="38" t="str">
        <f aca="false">IF($C12="","",INDEX(Mitigation_Grounds!$D$2:$D$17,MATCH($C12,Mitigation_Grounds!$B$2:$B$17,0)))</f>
        <v/>
      </c>
    </row>
    <row r="14" customFormat="false" ht="21.75" hidden="false" customHeight="true" outlineLevel="0" collapsed="false">
      <c r="B14" s="8" t="s">
        <v>62</v>
      </c>
      <c r="C14" s="8"/>
      <c r="D14" s="8"/>
      <c r="E14" s="8"/>
      <c r="F14" s="8"/>
      <c r="G14" s="8"/>
      <c r="H14" s="8"/>
    </row>
    <row r="15" customFormat="false" ht="48" hidden="false" customHeight="true" outlineLevel="0" collapsed="false">
      <c r="B15" s="9" t="s">
        <v>63</v>
      </c>
      <c r="C15" s="39" t="str">
        <f aca="false">IF($C$4&lt;&gt;"YES","n/a — the document is already NOT Export Controlled (or no document type has been selected on the Classify tab).",IF(COUNTIF($F$10:$F$12,"ACCEPTED")&gt;0,"DOWNGRADE POSSIBLE — at least one ground is ACCEPTED on the facts entered. The document may be re-marked NOT EXPORT CONTROLLED only after the Export Control Officer signs off below (Step 4).",IF(COUNTIF($F$10:$F$12,"CONDITIONAL")&gt;0,"DOWNGRADE POSSIBLE ONLY IF THE CONDITION IS MET — see column G for exactly what the Export Control Officer must verify. Until then the document REMAINS EXPORT CONTROLLED.",IF(COUNTIF($F$10:$F$12,"INCOMPLETE")&gt;0,"INCOMPLETE — write the justification for every ground selected.",IF(COUNTA($C$10:$C$12)=0,"REMAINS EXPORT CONTROLLED — no grounds entered yet.","DOWNGRADE NOT POSSIBLE — every ground entered is REJECTED (column G explains why). The document REMAINS EXPORT CONTROLLED.")))))</f>
        <v>n/a — the document is already NOT Export Controlled (or no document type has been selected on the Classify tab).</v>
      </c>
      <c r="D15" s="39"/>
      <c r="E15" s="39"/>
      <c r="F15" s="39"/>
      <c r="G15" s="39"/>
      <c r="H15" s="39"/>
    </row>
    <row r="16" customFormat="false" ht="30" hidden="false" customHeight="true" outlineLevel="0" collapsed="false">
      <c r="B16" s="9" t="s">
        <v>64</v>
      </c>
      <c r="C16" s="31" t="str">
        <f aca="false">IF($C$4&lt;&gt;"YES","NA",IF(COUNTIF($F$10:$F$12,"ACCEPTED")&gt;0,"ACCEPTED",IF(COUNTIF($F$10:$F$12,"CONDITIONAL")&gt;0,"CONDITIONAL",IF(COUNTIF($F$10:$F$12,"INCOMPLETE")&gt;0,"INCOMPLETE",IF(COUNTA($C$10:$C$12)=0,"NONE","REJECTED")))))</f>
        <v>NA</v>
      </c>
      <c r="D16" s="15" t="s">
        <v>65</v>
      </c>
      <c r="E16" s="15"/>
      <c r="F16" s="15"/>
      <c r="G16" s="15"/>
      <c r="H16" s="15"/>
    </row>
    <row r="18" customFormat="false" ht="21.75" hidden="false" customHeight="true" outlineLevel="0" collapsed="false">
      <c r="B18" s="8" t="s">
        <v>66</v>
      </c>
      <c r="C18" s="8"/>
      <c r="D18" s="8"/>
      <c r="E18" s="8"/>
      <c r="F18" s="8"/>
      <c r="G18" s="8"/>
      <c r="H18" s="8"/>
    </row>
    <row r="19" customFormat="false" ht="15" hidden="false" customHeight="false" outlineLevel="0" collapsed="false">
      <c r="C19" s="9" t="s">
        <v>67</v>
      </c>
      <c r="D19" s="10"/>
      <c r="E19" s="10"/>
      <c r="F19" s="40" t="str">
        <f aca="false">IF($C$16="ACCEPTED",IF($D$21="Confirm downgrade to NOT EXPORT CONTROLLED","Sign-off complete — apply the NOT EXPORT CONTROLLED marking.","Awaiting ECO sign-off — document remains EXPORT CONTROLLED."),IF($C$16="CONDITIONAL","ECO must verify the condition in column G before choosing a decision.",IF($C$16="NA","","No accepted ground — the only lawful decisions are Maintain, Sanitise or Re-classify as Dual-Use.")))</f>
        <v/>
      </c>
      <c r="G19" s="40"/>
      <c r="H19" s="40"/>
    </row>
    <row r="20" customFormat="false" ht="15" hidden="false" customHeight="false" outlineLevel="0" collapsed="false">
      <c r="C20" s="9" t="s">
        <v>68</v>
      </c>
      <c r="D20" s="41"/>
      <c r="E20" s="41"/>
      <c r="F20" s="40"/>
      <c r="G20" s="40"/>
      <c r="H20" s="40"/>
    </row>
    <row r="21" customFormat="false" ht="15" hidden="false" customHeight="false" outlineLevel="0" collapsed="false">
      <c r="C21" s="9" t="s">
        <v>69</v>
      </c>
      <c r="D21" s="10"/>
      <c r="E21" s="10"/>
      <c r="F21" s="40"/>
      <c r="G21" s="40"/>
      <c r="H21" s="40"/>
      <c r="J21" s="38" t="n">
        <f aca="false">$D$21</f>
        <v>0</v>
      </c>
    </row>
    <row r="22" customFormat="false" ht="60" hidden="false" customHeight="true" outlineLevel="0" collapsed="false">
      <c r="C22" s="9" t="s">
        <v>70</v>
      </c>
      <c r="D22" s="10"/>
      <c r="E22" s="10"/>
      <c r="F22" s="10"/>
      <c r="G22" s="10"/>
      <c r="H22" s="10"/>
    </row>
    <row r="24" customFormat="false" ht="15" hidden="false" customHeight="true" outlineLevel="0" collapsed="false">
      <c r="B24" s="42" t="s">
        <v>71</v>
      </c>
      <c r="C24" s="42"/>
      <c r="D24" s="42"/>
      <c r="E24" s="42"/>
      <c r="F24" s="42"/>
      <c r="G24" s="42"/>
      <c r="H24" s="42"/>
    </row>
    <row r="25" customFormat="false" ht="15" hidden="false" customHeight="false" outlineLevel="0" collapsed="false">
      <c r="B25" s="42"/>
      <c r="C25" s="42"/>
      <c r="D25" s="42"/>
      <c r="E25" s="42"/>
      <c r="F25" s="42"/>
      <c r="G25" s="42"/>
      <c r="H25" s="42"/>
    </row>
    <row r="26" customFormat="false" ht="15" hidden="false" customHeight="false" outlineLevel="0" collapsed="false">
      <c r="B26" s="42"/>
      <c r="C26" s="42"/>
      <c r="D26" s="42"/>
      <c r="E26" s="42"/>
      <c r="F26" s="42"/>
      <c r="G26" s="42"/>
      <c r="H26" s="42"/>
    </row>
  </sheetData>
  <mergeCells count="15">
    <mergeCell ref="B1:H1"/>
    <mergeCell ref="B2:H2"/>
    <mergeCell ref="C3:E3"/>
    <mergeCell ref="G3:H5"/>
    <mergeCell ref="B8:H8"/>
    <mergeCell ref="B14:H14"/>
    <mergeCell ref="C15:H15"/>
    <mergeCell ref="D16:H16"/>
    <mergeCell ref="B18:H18"/>
    <mergeCell ref="D19:E19"/>
    <mergeCell ref="F19:H21"/>
    <mergeCell ref="D20:E20"/>
    <mergeCell ref="D21:E21"/>
    <mergeCell ref="D22:H22"/>
    <mergeCell ref="B24:H26"/>
  </mergeCells>
  <conditionalFormatting sqref="C4">
    <cfRule type="expression" priority="2" aboveAverage="0" equalAverage="0" bottom="0" percent="0" rank="0" text="" dxfId="0">
      <formula>ISNUMBER(SEARCH("ACCEPTED",C4))</formula>
    </cfRule>
    <cfRule type="expression" priority="3" aboveAverage="0" equalAverage="0" bottom="0" percent="0" rank="0" text="" dxfId="1">
      <formula>ISNUMBER(SEARCH("CONDITION",C4))</formula>
    </cfRule>
    <cfRule type="expression" priority="4" aboveAverage="0" equalAverage="0" bottom="0" percent="0" rank="0" text="" dxfId="1">
      <formula>ISNUMBER(SEARCH("INCOMPLETE",C4))</formula>
    </cfRule>
    <cfRule type="expression" priority="5" aboveAverage="0" equalAverage="0" bottom="0" percent="0" rank="0" text="" dxfId="1">
      <formula>ISNUMBER(SEARCH("REVIEW",C4))</formula>
    </cfRule>
    <cfRule type="expression" priority="6" aboveAverage="0" equalAverage="0" bottom="0" percent="0" rank="0" text="" dxfId="2">
      <formula>ISNUMBER(SEARCH("REJECTED",C4))</formula>
    </cfRule>
    <cfRule type="expression" priority="7" aboveAverage="0" equalAverage="0" bottom="0" percent="0" rank="0" text="" dxfId="2">
      <formula>ISNUMBER(SEARCH("REMAINS EXPORT CONTROLLED",C4))</formula>
    </cfRule>
    <cfRule type="expression" priority="8" aboveAverage="0" equalAverage="0" bottom="0" percent="0" rank="0" text="" dxfId="0">
      <formula>LEFT(C4,2)="NO"</formula>
    </cfRule>
    <cfRule type="expression" priority="9" aboveAverage="0" equalAverage="0" bottom="0" percent="0" rank="0" text="" dxfId="2">
      <formula>LEFT(C4,3)="YES"</formula>
    </cfRule>
    <cfRule type="expression" priority="10" aboveAverage="0" equalAverage="0" bottom="0" percent="0" rank="0" text="" dxfId="1">
      <formula>LEFT(C4,4)="DUAL"</formula>
    </cfRule>
  </conditionalFormatting>
  <conditionalFormatting sqref="F10:F12">
    <cfRule type="expression" priority="11" aboveAverage="0" equalAverage="0" bottom="0" percent="0" rank="0" text="" dxfId="0">
      <formula>ISNUMBER(SEARCH("ACCEPTED",F10))</formula>
    </cfRule>
    <cfRule type="expression" priority="12" aboveAverage="0" equalAverage="0" bottom="0" percent="0" rank="0" text="" dxfId="1">
      <formula>ISNUMBER(SEARCH("CONDITION",F10))</formula>
    </cfRule>
    <cfRule type="expression" priority="13" aboveAverage="0" equalAverage="0" bottom="0" percent="0" rank="0" text="" dxfId="1">
      <formula>ISNUMBER(SEARCH("INCOMPLETE",F10))</formula>
    </cfRule>
    <cfRule type="expression" priority="14" aboveAverage="0" equalAverage="0" bottom="0" percent="0" rank="0" text="" dxfId="1">
      <formula>ISNUMBER(SEARCH("REVIEW",F10))</formula>
    </cfRule>
    <cfRule type="expression" priority="15" aboveAverage="0" equalAverage="0" bottom="0" percent="0" rank="0" text="" dxfId="2">
      <formula>ISNUMBER(SEARCH("REJECTED",F10))</formula>
    </cfRule>
    <cfRule type="expression" priority="16" aboveAverage="0" equalAverage="0" bottom="0" percent="0" rank="0" text="" dxfId="2">
      <formula>ISNUMBER(SEARCH("REMAINS EXPORT CONTROLLED",F10))</formula>
    </cfRule>
    <cfRule type="expression" priority="17" aboveAverage="0" equalAverage="0" bottom="0" percent="0" rank="0" text="" dxfId="0">
      <formula>LEFT(F10,2)="NO"</formula>
    </cfRule>
    <cfRule type="expression" priority="18" aboveAverage="0" equalAverage="0" bottom="0" percent="0" rank="0" text="" dxfId="2">
      <formula>LEFT(F10,3)="YES"</formula>
    </cfRule>
    <cfRule type="expression" priority="19" aboveAverage="0" equalAverage="0" bottom="0" percent="0" rank="0" text="" dxfId="1">
      <formula>LEFT(F10,4)="DUAL"</formula>
    </cfRule>
  </conditionalFormatting>
  <conditionalFormatting sqref="C15:H15">
    <cfRule type="expression" priority="20" aboveAverage="0" equalAverage="0" bottom="0" percent="0" rank="0" text="" dxfId="0">
      <formula>ISNUMBER(SEARCH("ACCEPTED",C15))</formula>
    </cfRule>
    <cfRule type="expression" priority="21" aboveAverage="0" equalAverage="0" bottom="0" percent="0" rank="0" text="" dxfId="1">
      <formula>ISNUMBER(SEARCH("CONDITION",C15))</formula>
    </cfRule>
    <cfRule type="expression" priority="22" aboveAverage="0" equalAverage="0" bottom="0" percent="0" rank="0" text="" dxfId="1">
      <formula>ISNUMBER(SEARCH("INCOMPLETE",C15))</formula>
    </cfRule>
    <cfRule type="expression" priority="23" aboveAverage="0" equalAverage="0" bottom="0" percent="0" rank="0" text="" dxfId="1">
      <formula>ISNUMBER(SEARCH("REVIEW",C15))</formula>
    </cfRule>
    <cfRule type="expression" priority="24" aboveAverage="0" equalAverage="0" bottom="0" percent="0" rank="0" text="" dxfId="2">
      <formula>ISNUMBER(SEARCH("REJECTED",C15))</formula>
    </cfRule>
    <cfRule type="expression" priority="25" aboveAverage="0" equalAverage="0" bottom="0" percent="0" rank="0" text="" dxfId="2">
      <formula>ISNUMBER(SEARCH("REMAINS EXPORT CONTROLLED",C15))</formula>
    </cfRule>
    <cfRule type="expression" priority="26" aboveAverage="0" equalAverage="0" bottom="0" percent="0" rank="0" text="" dxfId="0">
      <formula>LEFT(C15,2)="NO"</formula>
    </cfRule>
    <cfRule type="expression" priority="27" aboveAverage="0" equalAverage="0" bottom="0" percent="0" rank="0" text="" dxfId="2">
      <formula>LEFT(C15,3)="YES"</formula>
    </cfRule>
    <cfRule type="expression" priority="28" aboveAverage="0" equalAverage="0" bottom="0" percent="0" rank="0" text="" dxfId="1">
      <formula>LEFT(C15,4)="DUAL"</formula>
    </cfRule>
  </conditionalFormatting>
  <conditionalFormatting sqref="C16">
    <cfRule type="expression" priority="29" aboveAverage="0" equalAverage="0" bottom="0" percent="0" rank="0" text="" dxfId="0">
      <formula>ISNUMBER(SEARCH("ACCEPTED",C16))</formula>
    </cfRule>
    <cfRule type="expression" priority="30" aboveAverage="0" equalAverage="0" bottom="0" percent="0" rank="0" text="" dxfId="1">
      <formula>ISNUMBER(SEARCH("CONDITION",C16))</formula>
    </cfRule>
    <cfRule type="expression" priority="31" aboveAverage="0" equalAverage="0" bottom="0" percent="0" rank="0" text="" dxfId="1">
      <formula>ISNUMBER(SEARCH("INCOMPLETE",C16))</formula>
    </cfRule>
    <cfRule type="expression" priority="32" aboveAverage="0" equalAverage="0" bottom="0" percent="0" rank="0" text="" dxfId="1">
      <formula>ISNUMBER(SEARCH("REVIEW",C16))</formula>
    </cfRule>
    <cfRule type="expression" priority="33" aboveAverage="0" equalAverage="0" bottom="0" percent="0" rank="0" text="" dxfId="2">
      <formula>ISNUMBER(SEARCH("REJECTED",C16))</formula>
    </cfRule>
    <cfRule type="expression" priority="34" aboveAverage="0" equalAverage="0" bottom="0" percent="0" rank="0" text="" dxfId="2">
      <formula>ISNUMBER(SEARCH("REMAINS EXPORT CONTROLLED",C16))</formula>
    </cfRule>
    <cfRule type="expression" priority="35" aboveAverage="0" equalAverage="0" bottom="0" percent="0" rank="0" text="" dxfId="0">
      <formula>LEFT(C16,2)="NO"</formula>
    </cfRule>
    <cfRule type="expression" priority="36" aboveAverage="0" equalAverage="0" bottom="0" percent="0" rank="0" text="" dxfId="2">
      <formula>LEFT(C16,3)="YES"</formula>
    </cfRule>
    <cfRule type="expression" priority="37" aboveAverage="0" equalAverage="0" bottom="0" percent="0" rank="0" text="" dxfId="1">
      <formula>LEFT(C16,4)="DUAL"</formula>
    </cfRule>
  </conditionalFormatting>
  <dataValidations count="2">
    <dataValidation allowBlank="true" error="Choose one of the recognised grounds (see Mitigation_Grounds tab)." errorStyle="stop" errorTitle="Mitigation ground" operator="between" showDropDown="false" showErrorMessage="true" showInputMessage="false" sqref="C10:C12" type="list">
      <formula1>GroundList</formula1>
      <formula2>0</formula2>
    </dataValidation>
    <dataValidation allowBlank="true" errorStyle="stop" operator="between" showDropDown="false" showErrorMessage="false" showInputMessage="false" sqref="D21" type="list">
      <formula1>"Confirm downgrade to NOT EXPORT CONTROLLED,Maintain EXPORT CONTROLLED,Sanitise and re-classify as a new document,Re-classify as DUAL-USE CONTROLLED (NPC)"</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K20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7" topLeftCell="E8" activePane="bottomRight" state="frozen"/>
      <selection pane="topLeft" activeCell="A1" activeCellId="0" sqref="A1"/>
      <selection pane="topRight" activeCell="E1" activeCellId="0" sqref="E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40"/>
    <col collapsed="false" customWidth="true" hidden="false" outlineLevel="0" max="5" min="4" style="0" width="44"/>
    <col collapsed="false" customWidth="true" hidden="false" outlineLevel="0" max="6" min="6" style="0" width="12"/>
    <col collapsed="false" customWidth="true" hidden="false" outlineLevel="0" max="7" min="7" style="0" width="9"/>
    <col collapsed="false" customWidth="true" hidden="false" outlineLevel="0" max="8" min="8" style="0" width="22"/>
    <col collapsed="false" customWidth="true" hidden="false" outlineLevel="0" max="9" min="9" style="0" width="26"/>
    <col collapsed="false" customWidth="true" hidden="false" outlineLevel="0" max="10" min="10" style="0" width="60"/>
    <col collapsed="false" customWidth="true" hidden="false" outlineLevel="0" max="11" min="11" style="0" width="24"/>
  </cols>
  <sheetData>
    <row r="1" customFormat="false" ht="36" hidden="false" customHeight="true" outlineLevel="0" collapsed="false">
      <c r="A1" s="1" t="s">
        <v>72</v>
      </c>
      <c r="B1" s="1"/>
      <c r="C1" s="1"/>
      <c r="D1" s="1"/>
      <c r="E1" s="1"/>
      <c r="F1" s="1"/>
      <c r="G1" s="1"/>
      <c r="H1" s="1"/>
      <c r="I1" s="1"/>
      <c r="J1" s="1"/>
      <c r="K1" s="1"/>
    </row>
    <row r="2" customFormat="false" ht="30" hidden="false" customHeight="true" outlineLevel="0" collapsed="false">
      <c r="A2" s="2" t="s">
        <v>73</v>
      </c>
      <c r="B2" s="2"/>
      <c r="C2" s="2"/>
      <c r="D2" s="2"/>
      <c r="E2" s="2"/>
      <c r="F2" s="2"/>
      <c r="G2" s="2"/>
      <c r="H2" s="2"/>
      <c r="I2" s="2"/>
      <c r="J2" s="2"/>
      <c r="K2" s="2"/>
    </row>
    <row r="4" customFormat="false" ht="22.35" hidden="false" customHeight="false" outlineLevel="0" collapsed="false">
      <c r="B4" s="4" t="s">
        <v>74</v>
      </c>
      <c r="C4" s="43" t="str">
        <f aca="false">"Rules: type default Yes → YES;  Depends → YES at "&amp;Classify!$C$40&amp;"+ keyword hit(s) (REVIEW if no text given);  No → YES at "&amp;Classify!$C$41&amp;"+ hits.  Thresholds live on the Classify tab."</f>
        <v>Rules: type default Yes → YES;  Depends → YES at 1+ keyword hit(s) (REVIEW if no text given);  No → YES at 2+ hits.  Thresholds live on the Classify tab.</v>
      </c>
      <c r="D4" s="5" t="s">
        <v>75</v>
      </c>
      <c r="E4" s="6" t="s">
        <v>76</v>
      </c>
      <c r="H4" s="7" t="s">
        <v>77</v>
      </c>
    </row>
    <row r="5" customFormat="false" ht="30" hidden="false" customHeight="true" outlineLevel="0" collapsed="false">
      <c r="B5" s="44" t="n">
        <f aca="false">COUNTA($D$8:$D$207)</f>
        <v>3</v>
      </c>
      <c r="C5" s="43"/>
      <c r="D5" s="45" t="n">
        <f aca="false">COUNTIF($H$8:$H$207,"YES")</f>
        <v>1</v>
      </c>
      <c r="E5" s="46" t="n">
        <f aca="false">COUNTIF($H$8:$H$207,"NO")</f>
        <v>1</v>
      </c>
      <c r="H5" s="47" t="n">
        <f aca="false">COUNTIF($H$8:$H$207,"REVIEW*")</f>
        <v>1</v>
      </c>
    </row>
    <row r="7" customFormat="false" ht="30" hidden="false" customHeight="true" outlineLevel="0" collapsed="false">
      <c r="A7" s="35" t="s">
        <v>55</v>
      </c>
      <c r="B7" s="35" t="s">
        <v>78</v>
      </c>
      <c r="C7" s="35" t="s">
        <v>79</v>
      </c>
      <c r="D7" s="35" t="s">
        <v>80</v>
      </c>
      <c r="E7" s="35" t="s">
        <v>81</v>
      </c>
      <c r="F7" s="35" t="s">
        <v>82</v>
      </c>
      <c r="G7" s="35" t="s">
        <v>83</v>
      </c>
      <c r="H7" s="35" t="s">
        <v>19</v>
      </c>
      <c r="I7" s="35" t="s">
        <v>84</v>
      </c>
      <c r="J7" s="35" t="s">
        <v>85</v>
      </c>
      <c r="K7" s="35" t="s">
        <v>86</v>
      </c>
    </row>
    <row r="8" customFormat="false" ht="30" hidden="false" customHeight="true" outlineLevel="0" collapsed="false">
      <c r="A8" s="48" t="n">
        <v>1</v>
      </c>
      <c r="B8" s="49" t="s">
        <v>87</v>
      </c>
      <c r="C8" s="49" t="s">
        <v>88</v>
      </c>
      <c r="D8" s="49" t="s">
        <v>89</v>
      </c>
      <c r="E8" s="49" t="s">
        <v>90</v>
      </c>
      <c r="F8" s="50" t="str">
        <f aca="false">IF($D8="","",INDEX(Doc_Types!$C$2:$C$77,MATCH($D8,DocTypeList,0)))</f>
        <v>Yes</v>
      </c>
      <c r="G8" s="32" t="n">
        <f aca="false">IF($D8="","",IF($E8="",0,SUMPRODUCT(--ISNUMBER(SEARCH(Keywords!$A$2:$A$136,$E8)),--(Keywords!$A$2:$A$136&lt;&gt;""))))</f>
        <v>5</v>
      </c>
      <c r="H8" s="51" t="str">
        <f aca="false">IF($D8="","",IF($F8="Yes","YES",IF(AND($F8="Depends",$E8=""),"REVIEW — add scope text",IF($F8="Depends",IF($G8&gt;=Classify!$C$40,"YES","NO"),IF($G8&gt;=Classify!$C$41,"YES","NO")))))</f>
        <v>YES</v>
      </c>
      <c r="I8" s="12" t="str">
        <f aca="false">IF($D8="","",INDEX(Doc_Types!$D$2:$D$77,MATCH($D8,DocTypeList,0)))</f>
        <v>ML22 (technology for ML11/ML10/ML5 items)</v>
      </c>
      <c r="J8" s="37" t="str">
        <f aca="false">IF($D8="","",IF($F8="Yes",INDEX(Doc_Types!$E$2:$E$77,MATCH($D8,DocTypeList,0)),IF(LEFT($H8,6)="REVIEW","Type is 'Depends' — classification is decided by content; paste the scope text to resolve.",IF($H8="YES","Type default is '"&amp;$F8&amp;"' but the text contains "&amp;$G8&amp;" controlled technical term(s) — classification follows content (Wassenaar ML22 technology).",INDEX(Doc_Types!$E$2:$E$77,MATCH($D8,DocTypeList,0))&amp;" Text scan: "&amp;$G8&amp;" controlled term(s), below threshold."))))</f>
        <v>Quantified requirements for a military system are 'technology' required for its development.</v>
      </c>
      <c r="K8" s="51" t="str">
        <f aca="false">IF($H8="YES","EXPORT CONTROLLED",IF($H8="NO","NOT EXPORT CONTROLLED",IF($D8="","","— pending review —")))</f>
        <v>EXPORT CONTROLLED</v>
      </c>
    </row>
    <row r="9" customFormat="false" ht="30" hidden="false" customHeight="true" outlineLevel="0" collapsed="false">
      <c r="A9" s="48" t="n">
        <v>2</v>
      </c>
      <c r="B9" s="49" t="s">
        <v>91</v>
      </c>
      <c r="C9" s="49" t="s">
        <v>92</v>
      </c>
      <c r="D9" s="49" t="s">
        <v>93</v>
      </c>
      <c r="E9" s="49" t="s">
        <v>94</v>
      </c>
      <c r="F9" s="50" t="str">
        <f aca="false">IF($D9="","",INDEX(Doc_Types!$C$2:$C$77,MATCH($D9,DocTypeList,0)))</f>
        <v>No</v>
      </c>
      <c r="G9" s="32" t="n">
        <f aca="false">IF($D9="","",IF($E9="",0,SUMPRODUCT(--ISNUMBER(SEARCH(Keywords!$A$2:$A$136,$E9)),--(Keywords!$A$2:$A$136&lt;&gt;""))))</f>
        <v>0</v>
      </c>
      <c r="H9" s="51" t="str">
        <f aca="false">IF($D9="","",IF($F9="Yes","YES",IF(AND($F9="Depends",$E9=""),"REVIEW — add scope text",IF($F9="Depends",IF($G9&gt;=Classify!$C$40,"YES","NO"),IF($G9&gt;=Classify!$C$41,"YES","NO")))))</f>
        <v>NO</v>
      </c>
      <c r="I9" s="12" t="str">
        <f aca="false">IF($D9="","",INDEX(Doc_Types!$D$2:$D$77,MATCH($D9,DocTypeList,0)))</f>
        <v>n/a</v>
      </c>
      <c r="J9" s="37" t="str">
        <f aca="false">IF($D9="","",IF($F9="Yes",INDEX(Doc_Types!$E$2:$E$77,MATCH($D9,DocTypeList,0)),IF(LEFT($H9,6)="REVIEW","Type is 'Depends' — classification is decided by content; paste the scope text to resolve.",IF($H9="YES","Type default is '"&amp;$F9&amp;"' but the text contains "&amp;$G9&amp;" controlled technical term(s) — classification follows content (Wassenaar ML22 technology).",INDEX(Doc_Types!$E$2:$E$77,MATCH($D9,DocTypeList,0))&amp;" Text scan: "&amp;$G9&amp;" controlled term(s), below threshold."))))</f>
        <v>Programme management information is not 'technology' (no development, production or use information). Text scan: 0 controlled term(s), below threshold.</v>
      </c>
      <c r="K9" s="51" t="str">
        <f aca="false">IF($H9="YES","EXPORT CONTROLLED",IF($H9="NO","NOT EXPORT CONTROLLED",IF($D9="","","— pending review —")))</f>
        <v>NOT EXPORT CONTROLLED</v>
      </c>
    </row>
    <row r="10" customFormat="false" ht="30" hidden="false" customHeight="true" outlineLevel="0" collapsed="false">
      <c r="A10" s="48" t="n">
        <v>3</v>
      </c>
      <c r="B10" s="49" t="s">
        <v>95</v>
      </c>
      <c r="C10" s="49" t="s">
        <v>96</v>
      </c>
      <c r="D10" s="49" t="s">
        <v>97</v>
      </c>
      <c r="E10" s="49"/>
      <c r="F10" s="50" t="str">
        <f aca="false">IF($D10="","",INDEX(Doc_Types!$C$2:$C$77,MATCH($D10,DocTypeList,0)))</f>
        <v>Depends</v>
      </c>
      <c r="G10" s="32" t="n">
        <f aca="false">IF($D10="","",IF($E10="",0,SUMPRODUCT(--ISNUMBER(SEARCH(Keywords!$A$2:$A$136,$E10)),--(Keywords!$A$2:$A$136&lt;&gt;""))))</f>
        <v>0</v>
      </c>
      <c r="H10" s="51" t="str">
        <f aca="false">IF($D10="","",IF($F10="Yes","YES",IF(AND($F10="Depends",$E10=""),"REVIEW — add scope text",IF($F10="Depends",IF($G10&gt;=Classify!$C$40,"YES","NO"),IF($G10&gt;=Classify!$C$41,"YES","NO")))))</f>
        <v>REVIEW — add scope text</v>
      </c>
      <c r="I10" s="12" t="str">
        <f aca="false">IF($D10="","",INDEX(Doc_Types!$D$2:$D$77,MATCH($D10,DocTypeList,0)))</f>
        <v>ML22 / ML11</v>
      </c>
      <c r="J10" s="37" t="str">
        <f aca="false">IF($D10="","",IF($F10="Yes",INDEX(Doc_Types!$E$2:$E$77,MATCH($D10,DocTypeList,0)),IF(LEFT($H10,6)="REVIEW","Type is 'Depends' — classification is decided by content; paste the scope text to resolve.",IF($H10="YES","Type default is '"&amp;$F10&amp;"' but the text contains "&amp;$G10&amp;" controlled technical term(s) — classification follows content (Wassenaar ML22 technology).",INDEX(Doc_Types!$E$2:$E$77,MATCH($D10,DocTypeList,0))&amp;" Text scan: "&amp;$G10&amp;" controlled term(s), below threshold."))))</f>
        <v>Type is 'Depends' — classification is decided by content; paste the scope text to resolve.</v>
      </c>
      <c r="K10" s="51" t="str">
        <f aca="false">IF($H10="YES","EXPORT CONTROLLED",IF($H10="NO","NOT EXPORT CONTROLLED",IF($D10="","","— pending review —")))</f>
        <v>— pending review —</v>
      </c>
    </row>
    <row r="11" customFormat="false" ht="30" hidden="false" customHeight="true" outlineLevel="0" collapsed="false">
      <c r="A11" s="48" t="n">
        <v>4</v>
      </c>
      <c r="B11" s="25"/>
      <c r="C11" s="25"/>
      <c r="D11" s="25"/>
      <c r="E11" s="25"/>
      <c r="F11" s="50" t="str">
        <f aca="false">IF($D11="","",INDEX(Doc_Types!$C$2:$C$77,MATCH($D11,DocTypeList,0)))</f>
        <v/>
      </c>
      <c r="G11" s="32" t="str">
        <f aca="false">IF($D11="","",IF($E11="",0,SUMPRODUCT(--ISNUMBER(SEARCH(Keywords!$A$2:$A$136,$E11)),--(Keywords!$A$2:$A$136&lt;&gt;""))))</f>
        <v/>
      </c>
      <c r="H11" s="51" t="str">
        <f aca="false">IF($D11="","",IF($F11="Yes","YES",IF(AND($F11="Depends",$E11=""),"REVIEW — add scope text",IF($F11="Depends",IF($G11&gt;=Classify!$C$40,"YES","NO"),IF($G11&gt;=Classify!$C$41,"YES","NO")))))</f>
        <v/>
      </c>
      <c r="I11" s="12" t="str">
        <f aca="false">IF($D11="","",INDEX(Doc_Types!$D$2:$D$77,MATCH($D11,DocTypeList,0)))</f>
        <v/>
      </c>
      <c r="J11" s="37" t="str">
        <f aca="false">IF($D11="","",IF($F11="Yes",INDEX(Doc_Types!$E$2:$E$77,MATCH($D11,DocTypeList,0)),IF(LEFT($H11,6)="REVIEW","Type is 'Depends' — classification is decided by content; paste the scope text to resolve.",IF($H11="YES","Type default is '"&amp;$F11&amp;"' but the text contains "&amp;$G11&amp;" controlled technical term(s) — classification follows content (Wassenaar ML22 technology).",INDEX(Doc_Types!$E$2:$E$77,MATCH($D11,DocTypeList,0))&amp;" Text scan: "&amp;$G11&amp;" controlled term(s), below threshold."))))</f>
        <v/>
      </c>
      <c r="K11" s="51" t="str">
        <f aca="false">IF($H11="YES","EXPORT CONTROLLED",IF($H11="NO","NOT EXPORT CONTROLLED",IF($D11="","","— pending review —")))</f>
        <v/>
      </c>
    </row>
    <row r="12" customFormat="false" ht="30" hidden="false" customHeight="true" outlineLevel="0" collapsed="false">
      <c r="A12" s="48" t="n">
        <v>5</v>
      </c>
      <c r="B12" s="25"/>
      <c r="C12" s="25"/>
      <c r="D12" s="25"/>
      <c r="E12" s="25"/>
      <c r="F12" s="50" t="str">
        <f aca="false">IF($D12="","",INDEX(Doc_Types!$C$2:$C$77,MATCH($D12,DocTypeList,0)))</f>
        <v/>
      </c>
      <c r="G12" s="32" t="str">
        <f aca="false">IF($D12="","",IF($E12="",0,SUMPRODUCT(--ISNUMBER(SEARCH(Keywords!$A$2:$A$136,$E12)),--(Keywords!$A$2:$A$136&lt;&gt;""))))</f>
        <v/>
      </c>
      <c r="H12" s="51" t="str">
        <f aca="false">IF($D12="","",IF($F12="Yes","YES",IF(AND($F12="Depends",$E12=""),"REVIEW — add scope text",IF($F12="Depends",IF($G12&gt;=Classify!$C$40,"YES","NO"),IF($G12&gt;=Classify!$C$41,"YES","NO")))))</f>
        <v/>
      </c>
      <c r="I12" s="12" t="str">
        <f aca="false">IF($D12="","",INDEX(Doc_Types!$D$2:$D$77,MATCH($D12,DocTypeList,0)))</f>
        <v/>
      </c>
      <c r="J12" s="37" t="str">
        <f aca="false">IF($D12="","",IF($F12="Yes",INDEX(Doc_Types!$E$2:$E$77,MATCH($D12,DocTypeList,0)),IF(LEFT($H12,6)="REVIEW","Type is 'Depends' — classification is decided by content; paste the scope text to resolve.",IF($H12="YES","Type default is '"&amp;$F12&amp;"' but the text contains "&amp;$G12&amp;" controlled technical term(s) — classification follows content (Wassenaar ML22 technology).",INDEX(Doc_Types!$E$2:$E$77,MATCH($D12,DocTypeList,0))&amp;" Text scan: "&amp;$G12&amp;" controlled term(s), below threshold."))))</f>
        <v/>
      </c>
      <c r="K12" s="51" t="str">
        <f aca="false">IF($H12="YES","EXPORT CONTROLLED",IF($H12="NO","NOT EXPORT CONTROLLED",IF($D12="","","— pending review —")))</f>
        <v/>
      </c>
    </row>
    <row r="13" customFormat="false" ht="30" hidden="false" customHeight="true" outlineLevel="0" collapsed="false">
      <c r="A13" s="48" t="n">
        <v>6</v>
      </c>
      <c r="B13" s="25"/>
      <c r="C13" s="25"/>
      <c r="D13" s="25"/>
      <c r="E13" s="25"/>
      <c r="F13" s="50" t="str">
        <f aca="false">IF($D13="","",INDEX(Doc_Types!$C$2:$C$77,MATCH($D13,DocTypeList,0)))</f>
        <v/>
      </c>
      <c r="G13" s="32" t="str">
        <f aca="false">IF($D13="","",IF($E13="",0,SUMPRODUCT(--ISNUMBER(SEARCH(Keywords!$A$2:$A$136,$E13)),--(Keywords!$A$2:$A$136&lt;&gt;""))))</f>
        <v/>
      </c>
      <c r="H13" s="51" t="str">
        <f aca="false">IF($D13="","",IF($F13="Yes","YES",IF(AND($F13="Depends",$E13=""),"REVIEW — add scope text",IF($F13="Depends",IF($G13&gt;=Classify!$C$40,"YES","NO"),IF($G13&gt;=Classify!$C$41,"YES","NO")))))</f>
        <v/>
      </c>
      <c r="I13" s="12" t="str">
        <f aca="false">IF($D13="","",INDEX(Doc_Types!$D$2:$D$77,MATCH($D13,DocTypeList,0)))</f>
        <v/>
      </c>
      <c r="J13" s="37" t="str">
        <f aca="false">IF($D13="","",IF($F13="Yes",INDEX(Doc_Types!$E$2:$E$77,MATCH($D13,DocTypeList,0)),IF(LEFT($H13,6)="REVIEW","Type is 'Depends' — classification is decided by content; paste the scope text to resolve.",IF($H13="YES","Type default is '"&amp;$F13&amp;"' but the text contains "&amp;$G13&amp;" controlled technical term(s) — classification follows content (Wassenaar ML22 technology).",INDEX(Doc_Types!$E$2:$E$77,MATCH($D13,DocTypeList,0))&amp;" Text scan: "&amp;$G13&amp;" controlled term(s), below threshold."))))</f>
        <v/>
      </c>
      <c r="K13" s="51" t="str">
        <f aca="false">IF($H13="YES","EXPORT CONTROLLED",IF($H13="NO","NOT EXPORT CONTROLLED",IF($D13="","","— pending review —")))</f>
        <v/>
      </c>
    </row>
    <row r="14" customFormat="false" ht="30" hidden="false" customHeight="true" outlineLevel="0" collapsed="false">
      <c r="A14" s="48" t="n">
        <v>7</v>
      </c>
      <c r="B14" s="25"/>
      <c r="C14" s="25"/>
      <c r="D14" s="25"/>
      <c r="E14" s="25"/>
      <c r="F14" s="50" t="str">
        <f aca="false">IF($D14="","",INDEX(Doc_Types!$C$2:$C$77,MATCH($D14,DocTypeList,0)))</f>
        <v/>
      </c>
      <c r="G14" s="32" t="str">
        <f aca="false">IF($D14="","",IF($E14="",0,SUMPRODUCT(--ISNUMBER(SEARCH(Keywords!$A$2:$A$136,$E14)),--(Keywords!$A$2:$A$136&lt;&gt;""))))</f>
        <v/>
      </c>
      <c r="H14" s="51" t="str">
        <f aca="false">IF($D14="","",IF($F14="Yes","YES",IF(AND($F14="Depends",$E14=""),"REVIEW — add scope text",IF($F14="Depends",IF($G14&gt;=Classify!$C$40,"YES","NO"),IF($G14&gt;=Classify!$C$41,"YES","NO")))))</f>
        <v/>
      </c>
      <c r="I14" s="12" t="str">
        <f aca="false">IF($D14="","",INDEX(Doc_Types!$D$2:$D$77,MATCH($D14,DocTypeList,0)))</f>
        <v/>
      </c>
      <c r="J14" s="37" t="str">
        <f aca="false">IF($D14="","",IF($F14="Yes",INDEX(Doc_Types!$E$2:$E$77,MATCH($D14,DocTypeList,0)),IF(LEFT($H14,6)="REVIEW","Type is 'Depends' — classification is decided by content; paste the scope text to resolve.",IF($H14="YES","Type default is '"&amp;$F14&amp;"' but the text contains "&amp;$G14&amp;" controlled technical term(s) — classification follows content (Wassenaar ML22 technology).",INDEX(Doc_Types!$E$2:$E$77,MATCH($D14,DocTypeList,0))&amp;" Text scan: "&amp;$G14&amp;" controlled term(s), below threshold."))))</f>
        <v/>
      </c>
      <c r="K14" s="51" t="str">
        <f aca="false">IF($H14="YES","EXPORT CONTROLLED",IF($H14="NO","NOT EXPORT CONTROLLED",IF($D14="","","— pending review —")))</f>
        <v/>
      </c>
    </row>
    <row r="15" customFormat="false" ht="30" hidden="false" customHeight="true" outlineLevel="0" collapsed="false">
      <c r="A15" s="48" t="n">
        <v>8</v>
      </c>
      <c r="B15" s="25"/>
      <c r="C15" s="25"/>
      <c r="D15" s="25"/>
      <c r="E15" s="25"/>
      <c r="F15" s="50" t="str">
        <f aca="false">IF($D15="","",INDEX(Doc_Types!$C$2:$C$77,MATCH($D15,DocTypeList,0)))</f>
        <v/>
      </c>
      <c r="G15" s="32" t="str">
        <f aca="false">IF($D15="","",IF($E15="",0,SUMPRODUCT(--ISNUMBER(SEARCH(Keywords!$A$2:$A$136,$E15)),--(Keywords!$A$2:$A$136&lt;&gt;""))))</f>
        <v/>
      </c>
      <c r="H15" s="51" t="str">
        <f aca="false">IF($D15="","",IF($F15="Yes","YES",IF(AND($F15="Depends",$E15=""),"REVIEW — add scope text",IF($F15="Depends",IF($G15&gt;=Classify!$C$40,"YES","NO"),IF($G15&gt;=Classify!$C$41,"YES","NO")))))</f>
        <v/>
      </c>
      <c r="I15" s="12" t="str">
        <f aca="false">IF($D15="","",INDEX(Doc_Types!$D$2:$D$77,MATCH($D15,DocTypeList,0)))</f>
        <v/>
      </c>
      <c r="J15" s="37" t="str">
        <f aca="false">IF($D15="","",IF($F15="Yes",INDEX(Doc_Types!$E$2:$E$77,MATCH($D15,DocTypeList,0)),IF(LEFT($H15,6)="REVIEW","Type is 'Depends' — classification is decided by content; paste the scope text to resolve.",IF($H15="YES","Type default is '"&amp;$F15&amp;"' but the text contains "&amp;$G15&amp;" controlled technical term(s) — classification follows content (Wassenaar ML22 technology).",INDEX(Doc_Types!$E$2:$E$77,MATCH($D15,DocTypeList,0))&amp;" Text scan: "&amp;$G15&amp;" controlled term(s), below threshold."))))</f>
        <v/>
      </c>
      <c r="K15" s="51" t="str">
        <f aca="false">IF($H15="YES","EXPORT CONTROLLED",IF($H15="NO","NOT EXPORT CONTROLLED",IF($D15="","","— pending review —")))</f>
        <v/>
      </c>
    </row>
    <row r="16" customFormat="false" ht="30" hidden="false" customHeight="true" outlineLevel="0" collapsed="false">
      <c r="A16" s="48" t="n">
        <v>9</v>
      </c>
      <c r="B16" s="25"/>
      <c r="C16" s="25"/>
      <c r="D16" s="25"/>
      <c r="E16" s="25"/>
      <c r="F16" s="50" t="str">
        <f aca="false">IF($D16="","",INDEX(Doc_Types!$C$2:$C$77,MATCH($D16,DocTypeList,0)))</f>
        <v/>
      </c>
      <c r="G16" s="32" t="str">
        <f aca="false">IF($D16="","",IF($E16="",0,SUMPRODUCT(--ISNUMBER(SEARCH(Keywords!$A$2:$A$136,$E16)),--(Keywords!$A$2:$A$136&lt;&gt;""))))</f>
        <v/>
      </c>
      <c r="H16" s="51" t="str">
        <f aca="false">IF($D16="","",IF($F16="Yes","YES",IF(AND($F16="Depends",$E16=""),"REVIEW — add scope text",IF($F16="Depends",IF($G16&gt;=Classify!$C$40,"YES","NO"),IF($G16&gt;=Classify!$C$41,"YES","NO")))))</f>
        <v/>
      </c>
      <c r="I16" s="12" t="str">
        <f aca="false">IF($D16="","",INDEX(Doc_Types!$D$2:$D$77,MATCH($D16,DocTypeList,0)))</f>
        <v/>
      </c>
      <c r="J16" s="37" t="str">
        <f aca="false">IF($D16="","",IF($F16="Yes",INDEX(Doc_Types!$E$2:$E$77,MATCH($D16,DocTypeList,0)),IF(LEFT($H16,6)="REVIEW","Type is 'Depends' — classification is decided by content; paste the scope text to resolve.",IF($H16="YES","Type default is '"&amp;$F16&amp;"' but the text contains "&amp;$G16&amp;" controlled technical term(s) — classification follows content (Wassenaar ML22 technology).",INDEX(Doc_Types!$E$2:$E$77,MATCH($D16,DocTypeList,0))&amp;" Text scan: "&amp;$G16&amp;" controlled term(s), below threshold."))))</f>
        <v/>
      </c>
      <c r="K16" s="51" t="str">
        <f aca="false">IF($H16="YES","EXPORT CONTROLLED",IF($H16="NO","NOT EXPORT CONTROLLED",IF($D16="","","— pending review —")))</f>
        <v/>
      </c>
    </row>
    <row r="17" customFormat="false" ht="30" hidden="false" customHeight="true" outlineLevel="0" collapsed="false">
      <c r="A17" s="48" t="n">
        <v>10</v>
      </c>
      <c r="B17" s="25"/>
      <c r="C17" s="25"/>
      <c r="D17" s="25"/>
      <c r="E17" s="25"/>
      <c r="F17" s="50" t="str">
        <f aca="false">IF($D17="","",INDEX(Doc_Types!$C$2:$C$77,MATCH($D17,DocTypeList,0)))</f>
        <v/>
      </c>
      <c r="G17" s="32" t="str">
        <f aca="false">IF($D17="","",IF($E17="",0,SUMPRODUCT(--ISNUMBER(SEARCH(Keywords!$A$2:$A$136,$E17)),--(Keywords!$A$2:$A$136&lt;&gt;""))))</f>
        <v/>
      </c>
      <c r="H17" s="51" t="str">
        <f aca="false">IF($D17="","",IF($F17="Yes","YES",IF(AND($F17="Depends",$E17=""),"REVIEW — add scope text",IF($F17="Depends",IF($G17&gt;=Classify!$C$40,"YES","NO"),IF($G17&gt;=Classify!$C$41,"YES","NO")))))</f>
        <v/>
      </c>
      <c r="I17" s="12" t="str">
        <f aca="false">IF($D17="","",INDEX(Doc_Types!$D$2:$D$77,MATCH($D17,DocTypeList,0)))</f>
        <v/>
      </c>
      <c r="J17" s="37" t="str">
        <f aca="false">IF($D17="","",IF($F17="Yes",INDEX(Doc_Types!$E$2:$E$77,MATCH($D17,DocTypeList,0)),IF(LEFT($H17,6)="REVIEW","Type is 'Depends' — classification is decided by content; paste the scope text to resolve.",IF($H17="YES","Type default is '"&amp;$F17&amp;"' but the text contains "&amp;$G17&amp;" controlled technical term(s) — classification follows content (Wassenaar ML22 technology).",INDEX(Doc_Types!$E$2:$E$77,MATCH($D17,DocTypeList,0))&amp;" Text scan: "&amp;$G17&amp;" controlled term(s), below threshold."))))</f>
        <v/>
      </c>
      <c r="K17" s="51" t="str">
        <f aca="false">IF($H17="YES","EXPORT CONTROLLED",IF($H17="NO","NOT EXPORT CONTROLLED",IF($D17="","","— pending review —")))</f>
        <v/>
      </c>
    </row>
    <row r="18" customFormat="false" ht="30" hidden="false" customHeight="true" outlineLevel="0" collapsed="false">
      <c r="A18" s="48" t="n">
        <v>11</v>
      </c>
      <c r="B18" s="25"/>
      <c r="C18" s="25"/>
      <c r="D18" s="25"/>
      <c r="E18" s="25"/>
      <c r="F18" s="50" t="str">
        <f aca="false">IF($D18="","",INDEX(Doc_Types!$C$2:$C$77,MATCH($D18,DocTypeList,0)))</f>
        <v/>
      </c>
      <c r="G18" s="32" t="str">
        <f aca="false">IF($D18="","",IF($E18="",0,SUMPRODUCT(--ISNUMBER(SEARCH(Keywords!$A$2:$A$136,$E18)),--(Keywords!$A$2:$A$136&lt;&gt;""))))</f>
        <v/>
      </c>
      <c r="H18" s="51" t="str">
        <f aca="false">IF($D18="","",IF($F18="Yes","YES",IF(AND($F18="Depends",$E18=""),"REVIEW — add scope text",IF($F18="Depends",IF($G18&gt;=Classify!$C$40,"YES","NO"),IF($G18&gt;=Classify!$C$41,"YES","NO")))))</f>
        <v/>
      </c>
      <c r="I18" s="12" t="str">
        <f aca="false">IF($D18="","",INDEX(Doc_Types!$D$2:$D$77,MATCH($D18,DocTypeList,0)))</f>
        <v/>
      </c>
      <c r="J18" s="37" t="str">
        <f aca="false">IF($D18="","",IF($F18="Yes",INDEX(Doc_Types!$E$2:$E$77,MATCH($D18,DocTypeList,0)),IF(LEFT($H18,6)="REVIEW","Type is 'Depends' — classification is decided by content; paste the scope text to resolve.",IF($H18="YES","Type default is '"&amp;$F18&amp;"' but the text contains "&amp;$G18&amp;" controlled technical term(s) — classification follows content (Wassenaar ML22 technology).",INDEX(Doc_Types!$E$2:$E$77,MATCH($D18,DocTypeList,0))&amp;" Text scan: "&amp;$G18&amp;" controlled term(s), below threshold."))))</f>
        <v/>
      </c>
      <c r="K18" s="51" t="str">
        <f aca="false">IF($H18="YES","EXPORT CONTROLLED",IF($H18="NO","NOT EXPORT CONTROLLED",IF($D18="","","— pending review —")))</f>
        <v/>
      </c>
    </row>
    <row r="19" customFormat="false" ht="30" hidden="false" customHeight="true" outlineLevel="0" collapsed="false">
      <c r="A19" s="48" t="n">
        <v>12</v>
      </c>
      <c r="B19" s="25"/>
      <c r="C19" s="25"/>
      <c r="D19" s="25"/>
      <c r="E19" s="25"/>
      <c r="F19" s="50" t="str">
        <f aca="false">IF($D19="","",INDEX(Doc_Types!$C$2:$C$77,MATCH($D19,DocTypeList,0)))</f>
        <v/>
      </c>
      <c r="G19" s="32" t="str">
        <f aca="false">IF($D19="","",IF($E19="",0,SUMPRODUCT(--ISNUMBER(SEARCH(Keywords!$A$2:$A$136,$E19)),--(Keywords!$A$2:$A$136&lt;&gt;""))))</f>
        <v/>
      </c>
      <c r="H19" s="51" t="str">
        <f aca="false">IF($D19="","",IF($F19="Yes","YES",IF(AND($F19="Depends",$E19=""),"REVIEW — add scope text",IF($F19="Depends",IF($G19&gt;=Classify!$C$40,"YES","NO"),IF($G19&gt;=Classify!$C$41,"YES","NO")))))</f>
        <v/>
      </c>
      <c r="I19" s="12" t="str">
        <f aca="false">IF($D19="","",INDEX(Doc_Types!$D$2:$D$77,MATCH($D19,DocTypeList,0)))</f>
        <v/>
      </c>
      <c r="J19" s="37" t="str">
        <f aca="false">IF($D19="","",IF($F19="Yes",INDEX(Doc_Types!$E$2:$E$77,MATCH($D19,DocTypeList,0)),IF(LEFT($H19,6)="REVIEW","Type is 'Depends' — classification is decided by content; paste the scope text to resolve.",IF($H19="YES","Type default is '"&amp;$F19&amp;"' but the text contains "&amp;$G19&amp;" controlled technical term(s) — classification follows content (Wassenaar ML22 technology).",INDEX(Doc_Types!$E$2:$E$77,MATCH($D19,DocTypeList,0))&amp;" Text scan: "&amp;$G19&amp;" controlled term(s), below threshold."))))</f>
        <v/>
      </c>
      <c r="K19" s="51" t="str">
        <f aca="false">IF($H19="YES","EXPORT CONTROLLED",IF($H19="NO","NOT EXPORT CONTROLLED",IF($D19="","","— pending review —")))</f>
        <v/>
      </c>
    </row>
    <row r="20" customFormat="false" ht="30" hidden="false" customHeight="true" outlineLevel="0" collapsed="false">
      <c r="A20" s="48" t="n">
        <v>13</v>
      </c>
      <c r="B20" s="25"/>
      <c r="C20" s="25"/>
      <c r="D20" s="25"/>
      <c r="E20" s="25"/>
      <c r="F20" s="50" t="str">
        <f aca="false">IF($D20="","",INDEX(Doc_Types!$C$2:$C$77,MATCH($D20,DocTypeList,0)))</f>
        <v/>
      </c>
      <c r="G20" s="32" t="str">
        <f aca="false">IF($D20="","",IF($E20="",0,SUMPRODUCT(--ISNUMBER(SEARCH(Keywords!$A$2:$A$136,$E20)),--(Keywords!$A$2:$A$136&lt;&gt;""))))</f>
        <v/>
      </c>
      <c r="H20" s="51" t="str">
        <f aca="false">IF($D20="","",IF($F20="Yes","YES",IF(AND($F20="Depends",$E20=""),"REVIEW — add scope text",IF($F20="Depends",IF($G20&gt;=Classify!$C$40,"YES","NO"),IF($G20&gt;=Classify!$C$41,"YES","NO")))))</f>
        <v/>
      </c>
      <c r="I20" s="12" t="str">
        <f aca="false">IF($D20="","",INDEX(Doc_Types!$D$2:$D$77,MATCH($D20,DocTypeList,0)))</f>
        <v/>
      </c>
      <c r="J20" s="37" t="str">
        <f aca="false">IF($D20="","",IF($F20="Yes",INDEX(Doc_Types!$E$2:$E$77,MATCH($D20,DocTypeList,0)),IF(LEFT($H20,6)="REVIEW","Type is 'Depends' — classification is decided by content; paste the scope text to resolve.",IF($H20="YES","Type default is '"&amp;$F20&amp;"' but the text contains "&amp;$G20&amp;" controlled technical term(s) — classification follows content (Wassenaar ML22 technology).",INDEX(Doc_Types!$E$2:$E$77,MATCH($D20,DocTypeList,0))&amp;" Text scan: "&amp;$G20&amp;" controlled term(s), below threshold."))))</f>
        <v/>
      </c>
      <c r="K20" s="51" t="str">
        <f aca="false">IF($H20="YES","EXPORT CONTROLLED",IF($H20="NO","NOT EXPORT CONTROLLED",IF($D20="","","— pending review —")))</f>
        <v/>
      </c>
    </row>
    <row r="21" customFormat="false" ht="30" hidden="false" customHeight="true" outlineLevel="0" collapsed="false">
      <c r="A21" s="48" t="n">
        <v>14</v>
      </c>
      <c r="B21" s="25"/>
      <c r="C21" s="25"/>
      <c r="D21" s="25"/>
      <c r="E21" s="25"/>
      <c r="F21" s="50" t="str">
        <f aca="false">IF($D21="","",INDEX(Doc_Types!$C$2:$C$77,MATCH($D21,DocTypeList,0)))</f>
        <v/>
      </c>
      <c r="G21" s="32" t="str">
        <f aca="false">IF($D21="","",IF($E21="",0,SUMPRODUCT(--ISNUMBER(SEARCH(Keywords!$A$2:$A$136,$E21)),--(Keywords!$A$2:$A$136&lt;&gt;""))))</f>
        <v/>
      </c>
      <c r="H21" s="51" t="str">
        <f aca="false">IF($D21="","",IF($F21="Yes","YES",IF(AND($F21="Depends",$E21=""),"REVIEW — add scope text",IF($F21="Depends",IF($G21&gt;=Classify!$C$40,"YES","NO"),IF($G21&gt;=Classify!$C$41,"YES","NO")))))</f>
        <v/>
      </c>
      <c r="I21" s="12" t="str">
        <f aca="false">IF($D21="","",INDEX(Doc_Types!$D$2:$D$77,MATCH($D21,DocTypeList,0)))</f>
        <v/>
      </c>
      <c r="J21" s="37" t="str">
        <f aca="false">IF($D21="","",IF($F21="Yes",INDEX(Doc_Types!$E$2:$E$77,MATCH($D21,DocTypeList,0)),IF(LEFT($H21,6)="REVIEW","Type is 'Depends' — classification is decided by content; paste the scope text to resolve.",IF($H21="YES","Type default is '"&amp;$F21&amp;"' but the text contains "&amp;$G21&amp;" controlled technical term(s) — classification follows content (Wassenaar ML22 technology).",INDEX(Doc_Types!$E$2:$E$77,MATCH($D21,DocTypeList,0))&amp;" Text scan: "&amp;$G21&amp;" controlled term(s), below threshold."))))</f>
        <v/>
      </c>
      <c r="K21" s="51" t="str">
        <f aca="false">IF($H21="YES","EXPORT CONTROLLED",IF($H21="NO","NOT EXPORT CONTROLLED",IF($D21="","","— pending review —")))</f>
        <v/>
      </c>
    </row>
    <row r="22" customFormat="false" ht="30" hidden="false" customHeight="true" outlineLevel="0" collapsed="false">
      <c r="A22" s="48" t="n">
        <v>15</v>
      </c>
      <c r="B22" s="25"/>
      <c r="C22" s="25"/>
      <c r="D22" s="25"/>
      <c r="E22" s="25"/>
      <c r="F22" s="50" t="str">
        <f aca="false">IF($D22="","",INDEX(Doc_Types!$C$2:$C$77,MATCH($D22,DocTypeList,0)))</f>
        <v/>
      </c>
      <c r="G22" s="32" t="str">
        <f aca="false">IF($D22="","",IF($E22="",0,SUMPRODUCT(--ISNUMBER(SEARCH(Keywords!$A$2:$A$136,$E22)),--(Keywords!$A$2:$A$136&lt;&gt;""))))</f>
        <v/>
      </c>
      <c r="H22" s="51" t="str">
        <f aca="false">IF($D22="","",IF($F22="Yes","YES",IF(AND($F22="Depends",$E22=""),"REVIEW — add scope text",IF($F22="Depends",IF($G22&gt;=Classify!$C$40,"YES","NO"),IF($G22&gt;=Classify!$C$41,"YES","NO")))))</f>
        <v/>
      </c>
      <c r="I22" s="12" t="str">
        <f aca="false">IF($D22="","",INDEX(Doc_Types!$D$2:$D$77,MATCH($D22,DocTypeList,0)))</f>
        <v/>
      </c>
      <c r="J22" s="37" t="str">
        <f aca="false">IF($D22="","",IF($F22="Yes",INDEX(Doc_Types!$E$2:$E$77,MATCH($D22,DocTypeList,0)),IF(LEFT($H22,6)="REVIEW","Type is 'Depends' — classification is decided by content; paste the scope text to resolve.",IF($H22="YES","Type default is '"&amp;$F22&amp;"' but the text contains "&amp;$G22&amp;" controlled technical term(s) — classification follows content (Wassenaar ML22 technology).",INDEX(Doc_Types!$E$2:$E$77,MATCH($D22,DocTypeList,0))&amp;" Text scan: "&amp;$G22&amp;" controlled term(s), below threshold."))))</f>
        <v/>
      </c>
      <c r="K22" s="51" t="str">
        <f aca="false">IF($H22="YES","EXPORT CONTROLLED",IF($H22="NO","NOT EXPORT CONTROLLED",IF($D22="","","— pending review —")))</f>
        <v/>
      </c>
    </row>
    <row r="23" customFormat="false" ht="30" hidden="false" customHeight="true" outlineLevel="0" collapsed="false">
      <c r="A23" s="48" t="n">
        <v>16</v>
      </c>
      <c r="B23" s="25"/>
      <c r="C23" s="25"/>
      <c r="D23" s="25"/>
      <c r="E23" s="25"/>
      <c r="F23" s="50" t="str">
        <f aca="false">IF($D23="","",INDEX(Doc_Types!$C$2:$C$77,MATCH($D23,DocTypeList,0)))</f>
        <v/>
      </c>
      <c r="G23" s="32" t="str">
        <f aca="false">IF($D23="","",IF($E23="",0,SUMPRODUCT(--ISNUMBER(SEARCH(Keywords!$A$2:$A$136,$E23)),--(Keywords!$A$2:$A$136&lt;&gt;""))))</f>
        <v/>
      </c>
      <c r="H23" s="51" t="str">
        <f aca="false">IF($D23="","",IF($F23="Yes","YES",IF(AND($F23="Depends",$E23=""),"REVIEW — add scope text",IF($F23="Depends",IF($G23&gt;=Classify!$C$40,"YES","NO"),IF($G23&gt;=Classify!$C$41,"YES","NO")))))</f>
        <v/>
      </c>
      <c r="I23" s="12" t="str">
        <f aca="false">IF($D23="","",INDEX(Doc_Types!$D$2:$D$77,MATCH($D23,DocTypeList,0)))</f>
        <v/>
      </c>
      <c r="J23" s="37" t="str">
        <f aca="false">IF($D23="","",IF($F23="Yes",INDEX(Doc_Types!$E$2:$E$77,MATCH($D23,DocTypeList,0)),IF(LEFT($H23,6)="REVIEW","Type is 'Depends' — classification is decided by content; paste the scope text to resolve.",IF($H23="YES","Type default is '"&amp;$F23&amp;"' but the text contains "&amp;$G23&amp;" controlled technical term(s) — classification follows content (Wassenaar ML22 technology).",INDEX(Doc_Types!$E$2:$E$77,MATCH($D23,DocTypeList,0))&amp;" Text scan: "&amp;$G23&amp;" controlled term(s), below threshold."))))</f>
        <v/>
      </c>
      <c r="K23" s="51" t="str">
        <f aca="false">IF($H23="YES","EXPORT CONTROLLED",IF($H23="NO","NOT EXPORT CONTROLLED",IF($D23="","","— pending review —")))</f>
        <v/>
      </c>
    </row>
    <row r="24" customFormat="false" ht="30" hidden="false" customHeight="true" outlineLevel="0" collapsed="false">
      <c r="A24" s="48" t="n">
        <v>17</v>
      </c>
      <c r="B24" s="25"/>
      <c r="C24" s="25"/>
      <c r="D24" s="25"/>
      <c r="E24" s="25"/>
      <c r="F24" s="50" t="str">
        <f aca="false">IF($D24="","",INDEX(Doc_Types!$C$2:$C$77,MATCH($D24,DocTypeList,0)))</f>
        <v/>
      </c>
      <c r="G24" s="32" t="str">
        <f aca="false">IF($D24="","",IF($E24="",0,SUMPRODUCT(--ISNUMBER(SEARCH(Keywords!$A$2:$A$136,$E24)),--(Keywords!$A$2:$A$136&lt;&gt;""))))</f>
        <v/>
      </c>
      <c r="H24" s="51" t="str">
        <f aca="false">IF($D24="","",IF($F24="Yes","YES",IF(AND($F24="Depends",$E24=""),"REVIEW — add scope text",IF($F24="Depends",IF($G24&gt;=Classify!$C$40,"YES","NO"),IF($G24&gt;=Classify!$C$41,"YES","NO")))))</f>
        <v/>
      </c>
      <c r="I24" s="12" t="str">
        <f aca="false">IF($D24="","",INDEX(Doc_Types!$D$2:$D$77,MATCH($D24,DocTypeList,0)))</f>
        <v/>
      </c>
      <c r="J24" s="37" t="str">
        <f aca="false">IF($D24="","",IF($F24="Yes",INDEX(Doc_Types!$E$2:$E$77,MATCH($D24,DocTypeList,0)),IF(LEFT($H24,6)="REVIEW","Type is 'Depends' — classification is decided by content; paste the scope text to resolve.",IF($H24="YES","Type default is '"&amp;$F24&amp;"' but the text contains "&amp;$G24&amp;" controlled technical term(s) — classification follows content (Wassenaar ML22 technology).",INDEX(Doc_Types!$E$2:$E$77,MATCH($D24,DocTypeList,0))&amp;" Text scan: "&amp;$G24&amp;" controlled term(s), below threshold."))))</f>
        <v/>
      </c>
      <c r="K24" s="51" t="str">
        <f aca="false">IF($H24="YES","EXPORT CONTROLLED",IF($H24="NO","NOT EXPORT CONTROLLED",IF($D24="","","— pending review —")))</f>
        <v/>
      </c>
    </row>
    <row r="25" customFormat="false" ht="30" hidden="false" customHeight="true" outlineLevel="0" collapsed="false">
      <c r="A25" s="48" t="n">
        <v>18</v>
      </c>
      <c r="B25" s="25"/>
      <c r="C25" s="25"/>
      <c r="D25" s="25"/>
      <c r="E25" s="25"/>
      <c r="F25" s="50" t="str">
        <f aca="false">IF($D25="","",INDEX(Doc_Types!$C$2:$C$77,MATCH($D25,DocTypeList,0)))</f>
        <v/>
      </c>
      <c r="G25" s="32" t="str">
        <f aca="false">IF($D25="","",IF($E25="",0,SUMPRODUCT(--ISNUMBER(SEARCH(Keywords!$A$2:$A$136,$E25)),--(Keywords!$A$2:$A$136&lt;&gt;""))))</f>
        <v/>
      </c>
      <c r="H25" s="51" t="str">
        <f aca="false">IF($D25="","",IF($F25="Yes","YES",IF(AND($F25="Depends",$E25=""),"REVIEW — add scope text",IF($F25="Depends",IF($G25&gt;=Classify!$C$40,"YES","NO"),IF($G25&gt;=Classify!$C$41,"YES","NO")))))</f>
        <v/>
      </c>
      <c r="I25" s="12" t="str">
        <f aca="false">IF($D25="","",INDEX(Doc_Types!$D$2:$D$77,MATCH($D25,DocTypeList,0)))</f>
        <v/>
      </c>
      <c r="J25" s="37" t="str">
        <f aca="false">IF($D25="","",IF($F25="Yes",INDEX(Doc_Types!$E$2:$E$77,MATCH($D25,DocTypeList,0)),IF(LEFT($H25,6)="REVIEW","Type is 'Depends' — classification is decided by content; paste the scope text to resolve.",IF($H25="YES","Type default is '"&amp;$F25&amp;"' but the text contains "&amp;$G25&amp;" controlled technical term(s) — classification follows content (Wassenaar ML22 technology).",INDEX(Doc_Types!$E$2:$E$77,MATCH($D25,DocTypeList,0))&amp;" Text scan: "&amp;$G25&amp;" controlled term(s), below threshold."))))</f>
        <v/>
      </c>
      <c r="K25" s="51" t="str">
        <f aca="false">IF($H25="YES","EXPORT CONTROLLED",IF($H25="NO","NOT EXPORT CONTROLLED",IF($D25="","","— pending review —")))</f>
        <v/>
      </c>
    </row>
    <row r="26" customFormat="false" ht="30" hidden="false" customHeight="true" outlineLevel="0" collapsed="false">
      <c r="A26" s="48" t="n">
        <v>19</v>
      </c>
      <c r="B26" s="25"/>
      <c r="C26" s="25"/>
      <c r="D26" s="25"/>
      <c r="E26" s="25"/>
      <c r="F26" s="50" t="str">
        <f aca="false">IF($D26="","",INDEX(Doc_Types!$C$2:$C$77,MATCH($D26,DocTypeList,0)))</f>
        <v/>
      </c>
      <c r="G26" s="32" t="str">
        <f aca="false">IF($D26="","",IF($E26="",0,SUMPRODUCT(--ISNUMBER(SEARCH(Keywords!$A$2:$A$136,$E26)),--(Keywords!$A$2:$A$136&lt;&gt;""))))</f>
        <v/>
      </c>
      <c r="H26" s="51" t="str">
        <f aca="false">IF($D26="","",IF($F26="Yes","YES",IF(AND($F26="Depends",$E26=""),"REVIEW — add scope text",IF($F26="Depends",IF($G26&gt;=Classify!$C$40,"YES","NO"),IF($G26&gt;=Classify!$C$41,"YES","NO")))))</f>
        <v/>
      </c>
      <c r="I26" s="12" t="str">
        <f aca="false">IF($D26="","",INDEX(Doc_Types!$D$2:$D$77,MATCH($D26,DocTypeList,0)))</f>
        <v/>
      </c>
      <c r="J26" s="37" t="str">
        <f aca="false">IF($D26="","",IF($F26="Yes",INDEX(Doc_Types!$E$2:$E$77,MATCH($D26,DocTypeList,0)),IF(LEFT($H26,6)="REVIEW","Type is 'Depends' — classification is decided by content; paste the scope text to resolve.",IF($H26="YES","Type default is '"&amp;$F26&amp;"' but the text contains "&amp;$G26&amp;" controlled technical term(s) — classification follows content (Wassenaar ML22 technology).",INDEX(Doc_Types!$E$2:$E$77,MATCH($D26,DocTypeList,0))&amp;" Text scan: "&amp;$G26&amp;" controlled term(s), below threshold."))))</f>
        <v/>
      </c>
      <c r="K26" s="51" t="str">
        <f aca="false">IF($H26="YES","EXPORT CONTROLLED",IF($H26="NO","NOT EXPORT CONTROLLED",IF($D26="","","— pending review —")))</f>
        <v/>
      </c>
    </row>
    <row r="27" customFormat="false" ht="30" hidden="false" customHeight="true" outlineLevel="0" collapsed="false">
      <c r="A27" s="48" t="n">
        <v>20</v>
      </c>
      <c r="B27" s="25"/>
      <c r="C27" s="25"/>
      <c r="D27" s="25"/>
      <c r="E27" s="25"/>
      <c r="F27" s="50" t="str">
        <f aca="false">IF($D27="","",INDEX(Doc_Types!$C$2:$C$77,MATCH($D27,DocTypeList,0)))</f>
        <v/>
      </c>
      <c r="G27" s="32" t="str">
        <f aca="false">IF($D27="","",IF($E27="",0,SUMPRODUCT(--ISNUMBER(SEARCH(Keywords!$A$2:$A$136,$E27)),--(Keywords!$A$2:$A$136&lt;&gt;""))))</f>
        <v/>
      </c>
      <c r="H27" s="51" t="str">
        <f aca="false">IF($D27="","",IF($F27="Yes","YES",IF(AND($F27="Depends",$E27=""),"REVIEW — add scope text",IF($F27="Depends",IF($G27&gt;=Classify!$C$40,"YES","NO"),IF($G27&gt;=Classify!$C$41,"YES","NO")))))</f>
        <v/>
      </c>
      <c r="I27" s="12" t="str">
        <f aca="false">IF($D27="","",INDEX(Doc_Types!$D$2:$D$77,MATCH($D27,DocTypeList,0)))</f>
        <v/>
      </c>
      <c r="J27" s="37" t="str">
        <f aca="false">IF($D27="","",IF($F27="Yes",INDEX(Doc_Types!$E$2:$E$77,MATCH($D27,DocTypeList,0)),IF(LEFT($H27,6)="REVIEW","Type is 'Depends' — classification is decided by content; paste the scope text to resolve.",IF($H27="YES","Type default is '"&amp;$F27&amp;"' but the text contains "&amp;$G27&amp;" controlled technical term(s) — classification follows content (Wassenaar ML22 technology).",INDEX(Doc_Types!$E$2:$E$77,MATCH($D27,DocTypeList,0))&amp;" Text scan: "&amp;$G27&amp;" controlled term(s), below threshold."))))</f>
        <v/>
      </c>
      <c r="K27" s="51" t="str">
        <f aca="false">IF($H27="YES","EXPORT CONTROLLED",IF($H27="NO","NOT EXPORT CONTROLLED",IF($D27="","","— pending review —")))</f>
        <v/>
      </c>
    </row>
    <row r="28" customFormat="false" ht="30" hidden="false" customHeight="true" outlineLevel="0" collapsed="false">
      <c r="A28" s="48" t="n">
        <v>21</v>
      </c>
      <c r="B28" s="25"/>
      <c r="C28" s="25"/>
      <c r="D28" s="25"/>
      <c r="E28" s="25"/>
      <c r="F28" s="50" t="str">
        <f aca="false">IF($D28="","",INDEX(Doc_Types!$C$2:$C$77,MATCH($D28,DocTypeList,0)))</f>
        <v/>
      </c>
      <c r="G28" s="32" t="str">
        <f aca="false">IF($D28="","",IF($E28="",0,SUMPRODUCT(--ISNUMBER(SEARCH(Keywords!$A$2:$A$136,$E28)),--(Keywords!$A$2:$A$136&lt;&gt;""))))</f>
        <v/>
      </c>
      <c r="H28" s="51" t="str">
        <f aca="false">IF($D28="","",IF($F28="Yes","YES",IF(AND($F28="Depends",$E28=""),"REVIEW — add scope text",IF($F28="Depends",IF($G28&gt;=Classify!$C$40,"YES","NO"),IF($G28&gt;=Classify!$C$41,"YES","NO")))))</f>
        <v/>
      </c>
      <c r="I28" s="12" t="str">
        <f aca="false">IF($D28="","",INDEX(Doc_Types!$D$2:$D$77,MATCH($D28,DocTypeList,0)))</f>
        <v/>
      </c>
      <c r="J28" s="37" t="str">
        <f aca="false">IF($D28="","",IF($F28="Yes",INDEX(Doc_Types!$E$2:$E$77,MATCH($D28,DocTypeList,0)),IF(LEFT($H28,6)="REVIEW","Type is 'Depends' — classification is decided by content; paste the scope text to resolve.",IF($H28="YES","Type default is '"&amp;$F28&amp;"' but the text contains "&amp;$G28&amp;" controlled technical term(s) — classification follows content (Wassenaar ML22 technology).",INDEX(Doc_Types!$E$2:$E$77,MATCH($D28,DocTypeList,0))&amp;" Text scan: "&amp;$G28&amp;" controlled term(s), below threshold."))))</f>
        <v/>
      </c>
      <c r="K28" s="51" t="str">
        <f aca="false">IF($H28="YES","EXPORT CONTROLLED",IF($H28="NO","NOT EXPORT CONTROLLED",IF($D28="","","— pending review —")))</f>
        <v/>
      </c>
    </row>
    <row r="29" customFormat="false" ht="30" hidden="false" customHeight="true" outlineLevel="0" collapsed="false">
      <c r="A29" s="48" t="n">
        <v>22</v>
      </c>
      <c r="B29" s="25"/>
      <c r="C29" s="25"/>
      <c r="D29" s="25"/>
      <c r="E29" s="25"/>
      <c r="F29" s="50" t="str">
        <f aca="false">IF($D29="","",INDEX(Doc_Types!$C$2:$C$77,MATCH($D29,DocTypeList,0)))</f>
        <v/>
      </c>
      <c r="G29" s="32" t="str">
        <f aca="false">IF($D29="","",IF($E29="",0,SUMPRODUCT(--ISNUMBER(SEARCH(Keywords!$A$2:$A$136,$E29)),--(Keywords!$A$2:$A$136&lt;&gt;""))))</f>
        <v/>
      </c>
      <c r="H29" s="51" t="str">
        <f aca="false">IF($D29="","",IF($F29="Yes","YES",IF(AND($F29="Depends",$E29=""),"REVIEW — add scope text",IF($F29="Depends",IF($G29&gt;=Classify!$C$40,"YES","NO"),IF($G29&gt;=Classify!$C$41,"YES","NO")))))</f>
        <v/>
      </c>
      <c r="I29" s="12" t="str">
        <f aca="false">IF($D29="","",INDEX(Doc_Types!$D$2:$D$77,MATCH($D29,DocTypeList,0)))</f>
        <v/>
      </c>
      <c r="J29" s="37" t="str">
        <f aca="false">IF($D29="","",IF($F29="Yes",INDEX(Doc_Types!$E$2:$E$77,MATCH($D29,DocTypeList,0)),IF(LEFT($H29,6)="REVIEW","Type is 'Depends' — classification is decided by content; paste the scope text to resolve.",IF($H29="YES","Type default is '"&amp;$F29&amp;"' but the text contains "&amp;$G29&amp;" controlled technical term(s) — classification follows content (Wassenaar ML22 technology).",INDEX(Doc_Types!$E$2:$E$77,MATCH($D29,DocTypeList,0))&amp;" Text scan: "&amp;$G29&amp;" controlled term(s), below threshold."))))</f>
        <v/>
      </c>
      <c r="K29" s="51" t="str">
        <f aca="false">IF($H29="YES","EXPORT CONTROLLED",IF($H29="NO","NOT EXPORT CONTROLLED",IF($D29="","","— pending review —")))</f>
        <v/>
      </c>
    </row>
    <row r="30" customFormat="false" ht="30" hidden="false" customHeight="true" outlineLevel="0" collapsed="false">
      <c r="A30" s="48" t="n">
        <v>23</v>
      </c>
      <c r="B30" s="25"/>
      <c r="C30" s="25"/>
      <c r="D30" s="25"/>
      <c r="E30" s="25"/>
      <c r="F30" s="50" t="str">
        <f aca="false">IF($D30="","",INDEX(Doc_Types!$C$2:$C$77,MATCH($D30,DocTypeList,0)))</f>
        <v/>
      </c>
      <c r="G30" s="32" t="str">
        <f aca="false">IF($D30="","",IF($E30="",0,SUMPRODUCT(--ISNUMBER(SEARCH(Keywords!$A$2:$A$136,$E30)),--(Keywords!$A$2:$A$136&lt;&gt;""))))</f>
        <v/>
      </c>
      <c r="H30" s="51" t="str">
        <f aca="false">IF($D30="","",IF($F30="Yes","YES",IF(AND($F30="Depends",$E30=""),"REVIEW — add scope text",IF($F30="Depends",IF($G30&gt;=Classify!$C$40,"YES","NO"),IF($G30&gt;=Classify!$C$41,"YES","NO")))))</f>
        <v/>
      </c>
      <c r="I30" s="12" t="str">
        <f aca="false">IF($D30="","",INDEX(Doc_Types!$D$2:$D$77,MATCH($D30,DocTypeList,0)))</f>
        <v/>
      </c>
      <c r="J30" s="37" t="str">
        <f aca="false">IF($D30="","",IF($F30="Yes",INDEX(Doc_Types!$E$2:$E$77,MATCH($D30,DocTypeList,0)),IF(LEFT($H30,6)="REVIEW","Type is 'Depends' — classification is decided by content; paste the scope text to resolve.",IF($H30="YES","Type default is '"&amp;$F30&amp;"' but the text contains "&amp;$G30&amp;" controlled technical term(s) — classification follows content (Wassenaar ML22 technology).",INDEX(Doc_Types!$E$2:$E$77,MATCH($D30,DocTypeList,0))&amp;" Text scan: "&amp;$G30&amp;" controlled term(s), below threshold."))))</f>
        <v/>
      </c>
      <c r="K30" s="51" t="str">
        <f aca="false">IF($H30="YES","EXPORT CONTROLLED",IF($H30="NO","NOT EXPORT CONTROLLED",IF($D30="","","— pending review —")))</f>
        <v/>
      </c>
    </row>
    <row r="31" customFormat="false" ht="30" hidden="false" customHeight="true" outlineLevel="0" collapsed="false">
      <c r="A31" s="48" t="n">
        <v>24</v>
      </c>
      <c r="B31" s="25"/>
      <c r="C31" s="25"/>
      <c r="D31" s="25"/>
      <c r="E31" s="25"/>
      <c r="F31" s="50" t="str">
        <f aca="false">IF($D31="","",INDEX(Doc_Types!$C$2:$C$77,MATCH($D31,DocTypeList,0)))</f>
        <v/>
      </c>
      <c r="G31" s="32" t="str">
        <f aca="false">IF($D31="","",IF($E31="",0,SUMPRODUCT(--ISNUMBER(SEARCH(Keywords!$A$2:$A$136,$E31)),--(Keywords!$A$2:$A$136&lt;&gt;""))))</f>
        <v/>
      </c>
      <c r="H31" s="51" t="str">
        <f aca="false">IF($D31="","",IF($F31="Yes","YES",IF(AND($F31="Depends",$E31=""),"REVIEW — add scope text",IF($F31="Depends",IF($G31&gt;=Classify!$C$40,"YES","NO"),IF($G31&gt;=Classify!$C$41,"YES","NO")))))</f>
        <v/>
      </c>
      <c r="I31" s="12" t="str">
        <f aca="false">IF($D31="","",INDEX(Doc_Types!$D$2:$D$77,MATCH($D31,DocTypeList,0)))</f>
        <v/>
      </c>
      <c r="J31" s="37" t="str">
        <f aca="false">IF($D31="","",IF($F31="Yes",INDEX(Doc_Types!$E$2:$E$77,MATCH($D31,DocTypeList,0)),IF(LEFT($H31,6)="REVIEW","Type is 'Depends' — classification is decided by content; paste the scope text to resolve.",IF($H31="YES","Type default is '"&amp;$F31&amp;"' but the text contains "&amp;$G31&amp;" controlled technical term(s) — classification follows content (Wassenaar ML22 technology).",INDEX(Doc_Types!$E$2:$E$77,MATCH($D31,DocTypeList,0))&amp;" Text scan: "&amp;$G31&amp;" controlled term(s), below threshold."))))</f>
        <v/>
      </c>
      <c r="K31" s="51" t="str">
        <f aca="false">IF($H31="YES","EXPORT CONTROLLED",IF($H31="NO","NOT EXPORT CONTROLLED",IF($D31="","","— pending review —")))</f>
        <v/>
      </c>
    </row>
    <row r="32" customFormat="false" ht="30" hidden="false" customHeight="true" outlineLevel="0" collapsed="false">
      <c r="A32" s="48" t="n">
        <v>25</v>
      </c>
      <c r="B32" s="25"/>
      <c r="C32" s="25"/>
      <c r="D32" s="25"/>
      <c r="E32" s="25"/>
      <c r="F32" s="50" t="str">
        <f aca="false">IF($D32="","",INDEX(Doc_Types!$C$2:$C$77,MATCH($D32,DocTypeList,0)))</f>
        <v/>
      </c>
      <c r="G32" s="32" t="str">
        <f aca="false">IF($D32="","",IF($E32="",0,SUMPRODUCT(--ISNUMBER(SEARCH(Keywords!$A$2:$A$136,$E32)),--(Keywords!$A$2:$A$136&lt;&gt;""))))</f>
        <v/>
      </c>
      <c r="H32" s="51" t="str">
        <f aca="false">IF($D32="","",IF($F32="Yes","YES",IF(AND($F32="Depends",$E32=""),"REVIEW — add scope text",IF($F32="Depends",IF($G32&gt;=Classify!$C$40,"YES","NO"),IF($G32&gt;=Classify!$C$41,"YES","NO")))))</f>
        <v/>
      </c>
      <c r="I32" s="12" t="str">
        <f aca="false">IF($D32="","",INDEX(Doc_Types!$D$2:$D$77,MATCH($D32,DocTypeList,0)))</f>
        <v/>
      </c>
      <c r="J32" s="37" t="str">
        <f aca="false">IF($D32="","",IF($F32="Yes",INDEX(Doc_Types!$E$2:$E$77,MATCH($D32,DocTypeList,0)),IF(LEFT($H32,6)="REVIEW","Type is 'Depends' — classification is decided by content; paste the scope text to resolve.",IF($H32="YES","Type default is '"&amp;$F32&amp;"' but the text contains "&amp;$G32&amp;" controlled technical term(s) — classification follows content (Wassenaar ML22 technology).",INDEX(Doc_Types!$E$2:$E$77,MATCH($D32,DocTypeList,0))&amp;" Text scan: "&amp;$G32&amp;" controlled term(s), below threshold."))))</f>
        <v/>
      </c>
      <c r="K32" s="51" t="str">
        <f aca="false">IF($H32="YES","EXPORT CONTROLLED",IF($H32="NO","NOT EXPORT CONTROLLED",IF($D32="","","— pending review —")))</f>
        <v/>
      </c>
    </row>
    <row r="33" customFormat="false" ht="30" hidden="false" customHeight="true" outlineLevel="0" collapsed="false">
      <c r="A33" s="48" t="n">
        <v>26</v>
      </c>
      <c r="B33" s="25"/>
      <c r="C33" s="25"/>
      <c r="D33" s="25"/>
      <c r="E33" s="25"/>
      <c r="F33" s="50" t="str">
        <f aca="false">IF($D33="","",INDEX(Doc_Types!$C$2:$C$77,MATCH($D33,DocTypeList,0)))</f>
        <v/>
      </c>
      <c r="G33" s="32" t="str">
        <f aca="false">IF($D33="","",IF($E33="",0,SUMPRODUCT(--ISNUMBER(SEARCH(Keywords!$A$2:$A$136,$E33)),--(Keywords!$A$2:$A$136&lt;&gt;""))))</f>
        <v/>
      </c>
      <c r="H33" s="51" t="str">
        <f aca="false">IF($D33="","",IF($F33="Yes","YES",IF(AND($F33="Depends",$E33=""),"REVIEW — add scope text",IF($F33="Depends",IF($G33&gt;=Classify!$C$40,"YES","NO"),IF($G33&gt;=Classify!$C$41,"YES","NO")))))</f>
        <v/>
      </c>
      <c r="I33" s="12" t="str">
        <f aca="false">IF($D33="","",INDEX(Doc_Types!$D$2:$D$77,MATCH($D33,DocTypeList,0)))</f>
        <v/>
      </c>
      <c r="J33" s="37" t="str">
        <f aca="false">IF($D33="","",IF($F33="Yes",INDEX(Doc_Types!$E$2:$E$77,MATCH($D33,DocTypeList,0)),IF(LEFT($H33,6)="REVIEW","Type is 'Depends' — classification is decided by content; paste the scope text to resolve.",IF($H33="YES","Type default is '"&amp;$F33&amp;"' but the text contains "&amp;$G33&amp;" controlled technical term(s) — classification follows content (Wassenaar ML22 technology).",INDEX(Doc_Types!$E$2:$E$77,MATCH($D33,DocTypeList,0))&amp;" Text scan: "&amp;$G33&amp;" controlled term(s), below threshold."))))</f>
        <v/>
      </c>
      <c r="K33" s="51" t="str">
        <f aca="false">IF($H33="YES","EXPORT CONTROLLED",IF($H33="NO","NOT EXPORT CONTROLLED",IF($D33="","","— pending review —")))</f>
        <v/>
      </c>
    </row>
    <row r="34" customFormat="false" ht="30" hidden="false" customHeight="true" outlineLevel="0" collapsed="false">
      <c r="A34" s="48" t="n">
        <v>27</v>
      </c>
      <c r="B34" s="25"/>
      <c r="C34" s="25"/>
      <c r="D34" s="25"/>
      <c r="E34" s="25"/>
      <c r="F34" s="50" t="str">
        <f aca="false">IF($D34="","",INDEX(Doc_Types!$C$2:$C$77,MATCH($D34,DocTypeList,0)))</f>
        <v/>
      </c>
      <c r="G34" s="32" t="str">
        <f aca="false">IF($D34="","",IF($E34="",0,SUMPRODUCT(--ISNUMBER(SEARCH(Keywords!$A$2:$A$136,$E34)),--(Keywords!$A$2:$A$136&lt;&gt;""))))</f>
        <v/>
      </c>
      <c r="H34" s="51" t="str">
        <f aca="false">IF($D34="","",IF($F34="Yes","YES",IF(AND($F34="Depends",$E34=""),"REVIEW — add scope text",IF($F34="Depends",IF($G34&gt;=Classify!$C$40,"YES","NO"),IF($G34&gt;=Classify!$C$41,"YES","NO")))))</f>
        <v/>
      </c>
      <c r="I34" s="12" t="str">
        <f aca="false">IF($D34="","",INDEX(Doc_Types!$D$2:$D$77,MATCH($D34,DocTypeList,0)))</f>
        <v/>
      </c>
      <c r="J34" s="37" t="str">
        <f aca="false">IF($D34="","",IF($F34="Yes",INDEX(Doc_Types!$E$2:$E$77,MATCH($D34,DocTypeList,0)),IF(LEFT($H34,6)="REVIEW","Type is 'Depends' — classification is decided by content; paste the scope text to resolve.",IF($H34="YES","Type default is '"&amp;$F34&amp;"' but the text contains "&amp;$G34&amp;" controlled technical term(s) — classification follows content (Wassenaar ML22 technology).",INDEX(Doc_Types!$E$2:$E$77,MATCH($D34,DocTypeList,0))&amp;" Text scan: "&amp;$G34&amp;" controlled term(s), below threshold."))))</f>
        <v/>
      </c>
      <c r="K34" s="51" t="str">
        <f aca="false">IF($H34="YES","EXPORT CONTROLLED",IF($H34="NO","NOT EXPORT CONTROLLED",IF($D34="","","— pending review —")))</f>
        <v/>
      </c>
    </row>
    <row r="35" customFormat="false" ht="30" hidden="false" customHeight="true" outlineLevel="0" collapsed="false">
      <c r="A35" s="48" t="n">
        <v>28</v>
      </c>
      <c r="B35" s="25"/>
      <c r="C35" s="25"/>
      <c r="D35" s="25"/>
      <c r="E35" s="25"/>
      <c r="F35" s="50" t="str">
        <f aca="false">IF($D35="","",INDEX(Doc_Types!$C$2:$C$77,MATCH($D35,DocTypeList,0)))</f>
        <v/>
      </c>
      <c r="G35" s="32" t="str">
        <f aca="false">IF($D35="","",IF($E35="",0,SUMPRODUCT(--ISNUMBER(SEARCH(Keywords!$A$2:$A$136,$E35)),--(Keywords!$A$2:$A$136&lt;&gt;""))))</f>
        <v/>
      </c>
      <c r="H35" s="51" t="str">
        <f aca="false">IF($D35="","",IF($F35="Yes","YES",IF(AND($F35="Depends",$E35=""),"REVIEW — add scope text",IF($F35="Depends",IF($G35&gt;=Classify!$C$40,"YES","NO"),IF($G35&gt;=Classify!$C$41,"YES","NO")))))</f>
        <v/>
      </c>
      <c r="I35" s="12" t="str">
        <f aca="false">IF($D35="","",INDEX(Doc_Types!$D$2:$D$77,MATCH($D35,DocTypeList,0)))</f>
        <v/>
      </c>
      <c r="J35" s="37" t="str">
        <f aca="false">IF($D35="","",IF($F35="Yes",INDEX(Doc_Types!$E$2:$E$77,MATCH($D35,DocTypeList,0)),IF(LEFT($H35,6)="REVIEW","Type is 'Depends' — classification is decided by content; paste the scope text to resolve.",IF($H35="YES","Type default is '"&amp;$F35&amp;"' but the text contains "&amp;$G35&amp;" controlled technical term(s) — classification follows content (Wassenaar ML22 technology).",INDEX(Doc_Types!$E$2:$E$77,MATCH($D35,DocTypeList,0))&amp;" Text scan: "&amp;$G35&amp;" controlled term(s), below threshold."))))</f>
        <v/>
      </c>
      <c r="K35" s="51" t="str">
        <f aca="false">IF($H35="YES","EXPORT CONTROLLED",IF($H35="NO","NOT EXPORT CONTROLLED",IF($D35="","","— pending review —")))</f>
        <v/>
      </c>
    </row>
    <row r="36" customFormat="false" ht="30" hidden="false" customHeight="true" outlineLevel="0" collapsed="false">
      <c r="A36" s="48" t="n">
        <v>29</v>
      </c>
      <c r="B36" s="25"/>
      <c r="C36" s="25"/>
      <c r="D36" s="25"/>
      <c r="E36" s="25"/>
      <c r="F36" s="50" t="str">
        <f aca="false">IF($D36="","",INDEX(Doc_Types!$C$2:$C$77,MATCH($D36,DocTypeList,0)))</f>
        <v/>
      </c>
      <c r="G36" s="32" t="str">
        <f aca="false">IF($D36="","",IF($E36="",0,SUMPRODUCT(--ISNUMBER(SEARCH(Keywords!$A$2:$A$136,$E36)),--(Keywords!$A$2:$A$136&lt;&gt;""))))</f>
        <v/>
      </c>
      <c r="H36" s="51" t="str">
        <f aca="false">IF($D36="","",IF($F36="Yes","YES",IF(AND($F36="Depends",$E36=""),"REVIEW — add scope text",IF($F36="Depends",IF($G36&gt;=Classify!$C$40,"YES","NO"),IF($G36&gt;=Classify!$C$41,"YES","NO")))))</f>
        <v/>
      </c>
      <c r="I36" s="12" t="str">
        <f aca="false">IF($D36="","",INDEX(Doc_Types!$D$2:$D$77,MATCH($D36,DocTypeList,0)))</f>
        <v/>
      </c>
      <c r="J36" s="37" t="str">
        <f aca="false">IF($D36="","",IF($F36="Yes",INDEX(Doc_Types!$E$2:$E$77,MATCH($D36,DocTypeList,0)),IF(LEFT($H36,6)="REVIEW","Type is 'Depends' — classification is decided by content; paste the scope text to resolve.",IF($H36="YES","Type default is '"&amp;$F36&amp;"' but the text contains "&amp;$G36&amp;" controlled technical term(s) — classification follows content (Wassenaar ML22 technology).",INDEX(Doc_Types!$E$2:$E$77,MATCH($D36,DocTypeList,0))&amp;" Text scan: "&amp;$G36&amp;" controlled term(s), below threshold."))))</f>
        <v/>
      </c>
      <c r="K36" s="51" t="str">
        <f aca="false">IF($H36="YES","EXPORT CONTROLLED",IF($H36="NO","NOT EXPORT CONTROLLED",IF($D36="","","— pending review —")))</f>
        <v/>
      </c>
    </row>
    <row r="37" customFormat="false" ht="30" hidden="false" customHeight="true" outlineLevel="0" collapsed="false">
      <c r="A37" s="48" t="n">
        <v>30</v>
      </c>
      <c r="B37" s="25"/>
      <c r="C37" s="25"/>
      <c r="D37" s="25"/>
      <c r="E37" s="25"/>
      <c r="F37" s="50" t="str">
        <f aca="false">IF($D37="","",INDEX(Doc_Types!$C$2:$C$77,MATCH($D37,DocTypeList,0)))</f>
        <v/>
      </c>
      <c r="G37" s="32" t="str">
        <f aca="false">IF($D37="","",IF($E37="",0,SUMPRODUCT(--ISNUMBER(SEARCH(Keywords!$A$2:$A$136,$E37)),--(Keywords!$A$2:$A$136&lt;&gt;""))))</f>
        <v/>
      </c>
      <c r="H37" s="51" t="str">
        <f aca="false">IF($D37="","",IF($F37="Yes","YES",IF(AND($F37="Depends",$E37=""),"REVIEW — add scope text",IF($F37="Depends",IF($G37&gt;=Classify!$C$40,"YES","NO"),IF($G37&gt;=Classify!$C$41,"YES","NO")))))</f>
        <v/>
      </c>
      <c r="I37" s="12" t="str">
        <f aca="false">IF($D37="","",INDEX(Doc_Types!$D$2:$D$77,MATCH($D37,DocTypeList,0)))</f>
        <v/>
      </c>
      <c r="J37" s="37" t="str">
        <f aca="false">IF($D37="","",IF($F37="Yes",INDEX(Doc_Types!$E$2:$E$77,MATCH($D37,DocTypeList,0)),IF(LEFT($H37,6)="REVIEW","Type is 'Depends' — classification is decided by content; paste the scope text to resolve.",IF($H37="YES","Type default is '"&amp;$F37&amp;"' but the text contains "&amp;$G37&amp;" controlled technical term(s) — classification follows content (Wassenaar ML22 technology).",INDEX(Doc_Types!$E$2:$E$77,MATCH($D37,DocTypeList,0))&amp;" Text scan: "&amp;$G37&amp;" controlled term(s), below threshold."))))</f>
        <v/>
      </c>
      <c r="K37" s="51" t="str">
        <f aca="false">IF($H37="YES","EXPORT CONTROLLED",IF($H37="NO","NOT EXPORT CONTROLLED",IF($D37="","","— pending review —")))</f>
        <v/>
      </c>
    </row>
    <row r="38" customFormat="false" ht="30" hidden="false" customHeight="true" outlineLevel="0" collapsed="false">
      <c r="A38" s="48" t="n">
        <v>31</v>
      </c>
      <c r="B38" s="25"/>
      <c r="C38" s="25"/>
      <c r="D38" s="25"/>
      <c r="E38" s="25"/>
      <c r="F38" s="50" t="str">
        <f aca="false">IF($D38="","",INDEX(Doc_Types!$C$2:$C$77,MATCH($D38,DocTypeList,0)))</f>
        <v/>
      </c>
      <c r="G38" s="32" t="str">
        <f aca="false">IF($D38="","",IF($E38="",0,SUMPRODUCT(--ISNUMBER(SEARCH(Keywords!$A$2:$A$136,$E38)),--(Keywords!$A$2:$A$136&lt;&gt;""))))</f>
        <v/>
      </c>
      <c r="H38" s="51" t="str">
        <f aca="false">IF($D38="","",IF($F38="Yes","YES",IF(AND($F38="Depends",$E38=""),"REVIEW — add scope text",IF($F38="Depends",IF($G38&gt;=Classify!$C$40,"YES","NO"),IF($G38&gt;=Classify!$C$41,"YES","NO")))))</f>
        <v/>
      </c>
      <c r="I38" s="12" t="str">
        <f aca="false">IF($D38="","",INDEX(Doc_Types!$D$2:$D$77,MATCH($D38,DocTypeList,0)))</f>
        <v/>
      </c>
      <c r="J38" s="37" t="str">
        <f aca="false">IF($D38="","",IF($F38="Yes",INDEX(Doc_Types!$E$2:$E$77,MATCH($D38,DocTypeList,0)),IF(LEFT($H38,6)="REVIEW","Type is 'Depends' — classification is decided by content; paste the scope text to resolve.",IF($H38="YES","Type default is '"&amp;$F38&amp;"' but the text contains "&amp;$G38&amp;" controlled technical term(s) — classification follows content (Wassenaar ML22 technology).",INDEX(Doc_Types!$E$2:$E$77,MATCH($D38,DocTypeList,0))&amp;" Text scan: "&amp;$G38&amp;" controlled term(s), below threshold."))))</f>
        <v/>
      </c>
      <c r="K38" s="51" t="str">
        <f aca="false">IF($H38="YES","EXPORT CONTROLLED",IF($H38="NO","NOT EXPORT CONTROLLED",IF($D38="","","— pending review —")))</f>
        <v/>
      </c>
    </row>
    <row r="39" customFormat="false" ht="30" hidden="false" customHeight="true" outlineLevel="0" collapsed="false">
      <c r="A39" s="48" t="n">
        <v>32</v>
      </c>
      <c r="B39" s="25"/>
      <c r="C39" s="25"/>
      <c r="D39" s="25"/>
      <c r="E39" s="25"/>
      <c r="F39" s="50" t="str">
        <f aca="false">IF($D39="","",INDEX(Doc_Types!$C$2:$C$77,MATCH($D39,DocTypeList,0)))</f>
        <v/>
      </c>
      <c r="G39" s="32" t="str">
        <f aca="false">IF($D39="","",IF($E39="",0,SUMPRODUCT(--ISNUMBER(SEARCH(Keywords!$A$2:$A$136,$E39)),--(Keywords!$A$2:$A$136&lt;&gt;""))))</f>
        <v/>
      </c>
      <c r="H39" s="51" t="str">
        <f aca="false">IF($D39="","",IF($F39="Yes","YES",IF(AND($F39="Depends",$E39=""),"REVIEW — add scope text",IF($F39="Depends",IF($G39&gt;=Classify!$C$40,"YES","NO"),IF($G39&gt;=Classify!$C$41,"YES","NO")))))</f>
        <v/>
      </c>
      <c r="I39" s="12" t="str">
        <f aca="false">IF($D39="","",INDEX(Doc_Types!$D$2:$D$77,MATCH($D39,DocTypeList,0)))</f>
        <v/>
      </c>
      <c r="J39" s="37" t="str">
        <f aca="false">IF($D39="","",IF($F39="Yes",INDEX(Doc_Types!$E$2:$E$77,MATCH($D39,DocTypeList,0)),IF(LEFT($H39,6)="REVIEW","Type is 'Depends' — classification is decided by content; paste the scope text to resolve.",IF($H39="YES","Type default is '"&amp;$F39&amp;"' but the text contains "&amp;$G39&amp;" controlled technical term(s) — classification follows content (Wassenaar ML22 technology).",INDEX(Doc_Types!$E$2:$E$77,MATCH($D39,DocTypeList,0))&amp;" Text scan: "&amp;$G39&amp;" controlled term(s), below threshold."))))</f>
        <v/>
      </c>
      <c r="K39" s="51" t="str">
        <f aca="false">IF($H39="YES","EXPORT CONTROLLED",IF($H39="NO","NOT EXPORT CONTROLLED",IF($D39="","","— pending review —")))</f>
        <v/>
      </c>
    </row>
    <row r="40" customFormat="false" ht="30" hidden="false" customHeight="true" outlineLevel="0" collapsed="false">
      <c r="A40" s="48" t="n">
        <v>33</v>
      </c>
      <c r="B40" s="25"/>
      <c r="C40" s="25"/>
      <c r="D40" s="25"/>
      <c r="E40" s="25"/>
      <c r="F40" s="50" t="str">
        <f aca="false">IF($D40="","",INDEX(Doc_Types!$C$2:$C$77,MATCH($D40,DocTypeList,0)))</f>
        <v/>
      </c>
      <c r="G40" s="32" t="str">
        <f aca="false">IF($D40="","",IF($E40="",0,SUMPRODUCT(--ISNUMBER(SEARCH(Keywords!$A$2:$A$136,$E40)),--(Keywords!$A$2:$A$136&lt;&gt;""))))</f>
        <v/>
      </c>
      <c r="H40" s="51" t="str">
        <f aca="false">IF($D40="","",IF($F40="Yes","YES",IF(AND($F40="Depends",$E40=""),"REVIEW — add scope text",IF($F40="Depends",IF($G40&gt;=Classify!$C$40,"YES","NO"),IF($G40&gt;=Classify!$C$41,"YES","NO")))))</f>
        <v/>
      </c>
      <c r="I40" s="12" t="str">
        <f aca="false">IF($D40="","",INDEX(Doc_Types!$D$2:$D$77,MATCH($D40,DocTypeList,0)))</f>
        <v/>
      </c>
      <c r="J40" s="37" t="str">
        <f aca="false">IF($D40="","",IF($F40="Yes",INDEX(Doc_Types!$E$2:$E$77,MATCH($D40,DocTypeList,0)),IF(LEFT($H40,6)="REVIEW","Type is 'Depends' — classification is decided by content; paste the scope text to resolve.",IF($H40="YES","Type default is '"&amp;$F40&amp;"' but the text contains "&amp;$G40&amp;" controlled technical term(s) — classification follows content (Wassenaar ML22 technology).",INDEX(Doc_Types!$E$2:$E$77,MATCH($D40,DocTypeList,0))&amp;" Text scan: "&amp;$G40&amp;" controlled term(s), below threshold."))))</f>
        <v/>
      </c>
      <c r="K40" s="51" t="str">
        <f aca="false">IF($H40="YES","EXPORT CONTROLLED",IF($H40="NO","NOT EXPORT CONTROLLED",IF($D40="","","— pending review —")))</f>
        <v/>
      </c>
    </row>
    <row r="41" customFormat="false" ht="30" hidden="false" customHeight="true" outlineLevel="0" collapsed="false">
      <c r="A41" s="48" t="n">
        <v>34</v>
      </c>
      <c r="B41" s="25"/>
      <c r="C41" s="25"/>
      <c r="D41" s="25"/>
      <c r="E41" s="25"/>
      <c r="F41" s="50" t="str">
        <f aca="false">IF($D41="","",INDEX(Doc_Types!$C$2:$C$77,MATCH($D41,DocTypeList,0)))</f>
        <v/>
      </c>
      <c r="G41" s="32" t="str">
        <f aca="false">IF($D41="","",IF($E41="",0,SUMPRODUCT(--ISNUMBER(SEARCH(Keywords!$A$2:$A$136,$E41)),--(Keywords!$A$2:$A$136&lt;&gt;""))))</f>
        <v/>
      </c>
      <c r="H41" s="51" t="str">
        <f aca="false">IF($D41="","",IF($F41="Yes","YES",IF(AND($F41="Depends",$E41=""),"REVIEW — add scope text",IF($F41="Depends",IF($G41&gt;=Classify!$C$40,"YES","NO"),IF($G41&gt;=Classify!$C$41,"YES","NO")))))</f>
        <v/>
      </c>
      <c r="I41" s="12" t="str">
        <f aca="false">IF($D41="","",INDEX(Doc_Types!$D$2:$D$77,MATCH($D41,DocTypeList,0)))</f>
        <v/>
      </c>
      <c r="J41" s="37" t="str">
        <f aca="false">IF($D41="","",IF($F41="Yes",INDEX(Doc_Types!$E$2:$E$77,MATCH($D41,DocTypeList,0)),IF(LEFT($H41,6)="REVIEW","Type is 'Depends' — classification is decided by content; paste the scope text to resolve.",IF($H41="YES","Type default is '"&amp;$F41&amp;"' but the text contains "&amp;$G41&amp;" controlled technical term(s) — classification follows content (Wassenaar ML22 technology).",INDEX(Doc_Types!$E$2:$E$77,MATCH($D41,DocTypeList,0))&amp;" Text scan: "&amp;$G41&amp;" controlled term(s), below threshold."))))</f>
        <v/>
      </c>
      <c r="K41" s="51" t="str">
        <f aca="false">IF($H41="YES","EXPORT CONTROLLED",IF($H41="NO","NOT EXPORT CONTROLLED",IF($D41="","","— pending review —")))</f>
        <v/>
      </c>
    </row>
    <row r="42" customFormat="false" ht="30" hidden="false" customHeight="true" outlineLevel="0" collapsed="false">
      <c r="A42" s="48" t="n">
        <v>35</v>
      </c>
      <c r="B42" s="25"/>
      <c r="C42" s="25"/>
      <c r="D42" s="25"/>
      <c r="E42" s="25"/>
      <c r="F42" s="50" t="str">
        <f aca="false">IF($D42="","",INDEX(Doc_Types!$C$2:$C$77,MATCH($D42,DocTypeList,0)))</f>
        <v/>
      </c>
      <c r="G42" s="32" t="str">
        <f aca="false">IF($D42="","",IF($E42="",0,SUMPRODUCT(--ISNUMBER(SEARCH(Keywords!$A$2:$A$136,$E42)),--(Keywords!$A$2:$A$136&lt;&gt;""))))</f>
        <v/>
      </c>
      <c r="H42" s="51" t="str">
        <f aca="false">IF($D42="","",IF($F42="Yes","YES",IF(AND($F42="Depends",$E42=""),"REVIEW — add scope text",IF($F42="Depends",IF($G42&gt;=Classify!$C$40,"YES","NO"),IF($G42&gt;=Classify!$C$41,"YES","NO")))))</f>
        <v/>
      </c>
      <c r="I42" s="12" t="str">
        <f aca="false">IF($D42="","",INDEX(Doc_Types!$D$2:$D$77,MATCH($D42,DocTypeList,0)))</f>
        <v/>
      </c>
      <c r="J42" s="37" t="str">
        <f aca="false">IF($D42="","",IF($F42="Yes",INDEX(Doc_Types!$E$2:$E$77,MATCH($D42,DocTypeList,0)),IF(LEFT($H42,6)="REVIEW","Type is 'Depends' — classification is decided by content; paste the scope text to resolve.",IF($H42="YES","Type default is '"&amp;$F42&amp;"' but the text contains "&amp;$G42&amp;" controlled technical term(s) — classification follows content (Wassenaar ML22 technology).",INDEX(Doc_Types!$E$2:$E$77,MATCH($D42,DocTypeList,0))&amp;" Text scan: "&amp;$G42&amp;" controlled term(s), below threshold."))))</f>
        <v/>
      </c>
      <c r="K42" s="51" t="str">
        <f aca="false">IF($H42="YES","EXPORT CONTROLLED",IF($H42="NO","NOT EXPORT CONTROLLED",IF($D42="","","— pending review —")))</f>
        <v/>
      </c>
    </row>
    <row r="43" customFormat="false" ht="30" hidden="false" customHeight="true" outlineLevel="0" collapsed="false">
      <c r="A43" s="48" t="n">
        <v>36</v>
      </c>
      <c r="B43" s="25"/>
      <c r="C43" s="25"/>
      <c r="D43" s="25"/>
      <c r="E43" s="25"/>
      <c r="F43" s="50" t="str">
        <f aca="false">IF($D43="","",INDEX(Doc_Types!$C$2:$C$77,MATCH($D43,DocTypeList,0)))</f>
        <v/>
      </c>
      <c r="G43" s="32" t="str">
        <f aca="false">IF($D43="","",IF($E43="",0,SUMPRODUCT(--ISNUMBER(SEARCH(Keywords!$A$2:$A$136,$E43)),--(Keywords!$A$2:$A$136&lt;&gt;""))))</f>
        <v/>
      </c>
      <c r="H43" s="51" t="str">
        <f aca="false">IF($D43="","",IF($F43="Yes","YES",IF(AND($F43="Depends",$E43=""),"REVIEW — add scope text",IF($F43="Depends",IF($G43&gt;=Classify!$C$40,"YES","NO"),IF($G43&gt;=Classify!$C$41,"YES","NO")))))</f>
        <v/>
      </c>
      <c r="I43" s="12" t="str">
        <f aca="false">IF($D43="","",INDEX(Doc_Types!$D$2:$D$77,MATCH($D43,DocTypeList,0)))</f>
        <v/>
      </c>
      <c r="J43" s="37" t="str">
        <f aca="false">IF($D43="","",IF($F43="Yes",INDEX(Doc_Types!$E$2:$E$77,MATCH($D43,DocTypeList,0)),IF(LEFT($H43,6)="REVIEW","Type is 'Depends' — classification is decided by content; paste the scope text to resolve.",IF($H43="YES","Type default is '"&amp;$F43&amp;"' but the text contains "&amp;$G43&amp;" controlled technical term(s) — classification follows content (Wassenaar ML22 technology).",INDEX(Doc_Types!$E$2:$E$77,MATCH($D43,DocTypeList,0))&amp;" Text scan: "&amp;$G43&amp;" controlled term(s), below threshold."))))</f>
        <v/>
      </c>
      <c r="K43" s="51" t="str">
        <f aca="false">IF($H43="YES","EXPORT CONTROLLED",IF($H43="NO","NOT EXPORT CONTROLLED",IF($D43="","","— pending review —")))</f>
        <v/>
      </c>
    </row>
    <row r="44" customFormat="false" ht="30" hidden="false" customHeight="true" outlineLevel="0" collapsed="false">
      <c r="A44" s="48" t="n">
        <v>37</v>
      </c>
      <c r="B44" s="25"/>
      <c r="C44" s="25"/>
      <c r="D44" s="25"/>
      <c r="E44" s="25"/>
      <c r="F44" s="50" t="str">
        <f aca="false">IF($D44="","",INDEX(Doc_Types!$C$2:$C$77,MATCH($D44,DocTypeList,0)))</f>
        <v/>
      </c>
      <c r="G44" s="32" t="str">
        <f aca="false">IF($D44="","",IF($E44="",0,SUMPRODUCT(--ISNUMBER(SEARCH(Keywords!$A$2:$A$136,$E44)),--(Keywords!$A$2:$A$136&lt;&gt;""))))</f>
        <v/>
      </c>
      <c r="H44" s="51" t="str">
        <f aca="false">IF($D44="","",IF($F44="Yes","YES",IF(AND($F44="Depends",$E44=""),"REVIEW — add scope text",IF($F44="Depends",IF($G44&gt;=Classify!$C$40,"YES","NO"),IF($G44&gt;=Classify!$C$41,"YES","NO")))))</f>
        <v/>
      </c>
      <c r="I44" s="12" t="str">
        <f aca="false">IF($D44="","",INDEX(Doc_Types!$D$2:$D$77,MATCH($D44,DocTypeList,0)))</f>
        <v/>
      </c>
      <c r="J44" s="37" t="str">
        <f aca="false">IF($D44="","",IF($F44="Yes",INDEX(Doc_Types!$E$2:$E$77,MATCH($D44,DocTypeList,0)),IF(LEFT($H44,6)="REVIEW","Type is 'Depends' — classification is decided by content; paste the scope text to resolve.",IF($H44="YES","Type default is '"&amp;$F44&amp;"' but the text contains "&amp;$G44&amp;" controlled technical term(s) — classification follows content (Wassenaar ML22 technology).",INDEX(Doc_Types!$E$2:$E$77,MATCH($D44,DocTypeList,0))&amp;" Text scan: "&amp;$G44&amp;" controlled term(s), below threshold."))))</f>
        <v/>
      </c>
      <c r="K44" s="51" t="str">
        <f aca="false">IF($H44="YES","EXPORT CONTROLLED",IF($H44="NO","NOT EXPORT CONTROLLED",IF($D44="","","— pending review —")))</f>
        <v/>
      </c>
    </row>
    <row r="45" customFormat="false" ht="30" hidden="false" customHeight="true" outlineLevel="0" collapsed="false">
      <c r="A45" s="48" t="n">
        <v>38</v>
      </c>
      <c r="B45" s="25"/>
      <c r="C45" s="25"/>
      <c r="D45" s="25"/>
      <c r="E45" s="25"/>
      <c r="F45" s="50" t="str">
        <f aca="false">IF($D45="","",INDEX(Doc_Types!$C$2:$C$77,MATCH($D45,DocTypeList,0)))</f>
        <v/>
      </c>
      <c r="G45" s="32" t="str">
        <f aca="false">IF($D45="","",IF($E45="",0,SUMPRODUCT(--ISNUMBER(SEARCH(Keywords!$A$2:$A$136,$E45)),--(Keywords!$A$2:$A$136&lt;&gt;""))))</f>
        <v/>
      </c>
      <c r="H45" s="51" t="str">
        <f aca="false">IF($D45="","",IF($F45="Yes","YES",IF(AND($F45="Depends",$E45=""),"REVIEW — add scope text",IF($F45="Depends",IF($G45&gt;=Classify!$C$40,"YES","NO"),IF($G45&gt;=Classify!$C$41,"YES","NO")))))</f>
        <v/>
      </c>
      <c r="I45" s="12" t="str">
        <f aca="false">IF($D45="","",INDEX(Doc_Types!$D$2:$D$77,MATCH($D45,DocTypeList,0)))</f>
        <v/>
      </c>
      <c r="J45" s="37" t="str">
        <f aca="false">IF($D45="","",IF($F45="Yes",INDEX(Doc_Types!$E$2:$E$77,MATCH($D45,DocTypeList,0)),IF(LEFT($H45,6)="REVIEW","Type is 'Depends' — classification is decided by content; paste the scope text to resolve.",IF($H45="YES","Type default is '"&amp;$F45&amp;"' but the text contains "&amp;$G45&amp;" controlled technical term(s) — classification follows content (Wassenaar ML22 technology).",INDEX(Doc_Types!$E$2:$E$77,MATCH($D45,DocTypeList,0))&amp;" Text scan: "&amp;$G45&amp;" controlled term(s), below threshold."))))</f>
        <v/>
      </c>
      <c r="K45" s="51" t="str">
        <f aca="false">IF($H45="YES","EXPORT CONTROLLED",IF($H45="NO","NOT EXPORT CONTROLLED",IF($D45="","","— pending review —")))</f>
        <v/>
      </c>
    </row>
    <row r="46" customFormat="false" ht="30" hidden="false" customHeight="true" outlineLevel="0" collapsed="false">
      <c r="A46" s="48" t="n">
        <v>39</v>
      </c>
      <c r="B46" s="25"/>
      <c r="C46" s="25"/>
      <c r="D46" s="25"/>
      <c r="E46" s="25"/>
      <c r="F46" s="50" t="str">
        <f aca="false">IF($D46="","",INDEX(Doc_Types!$C$2:$C$77,MATCH($D46,DocTypeList,0)))</f>
        <v/>
      </c>
      <c r="G46" s="32" t="str">
        <f aca="false">IF($D46="","",IF($E46="",0,SUMPRODUCT(--ISNUMBER(SEARCH(Keywords!$A$2:$A$136,$E46)),--(Keywords!$A$2:$A$136&lt;&gt;""))))</f>
        <v/>
      </c>
      <c r="H46" s="51" t="str">
        <f aca="false">IF($D46="","",IF($F46="Yes","YES",IF(AND($F46="Depends",$E46=""),"REVIEW — add scope text",IF($F46="Depends",IF($G46&gt;=Classify!$C$40,"YES","NO"),IF($G46&gt;=Classify!$C$41,"YES","NO")))))</f>
        <v/>
      </c>
      <c r="I46" s="12" t="str">
        <f aca="false">IF($D46="","",INDEX(Doc_Types!$D$2:$D$77,MATCH($D46,DocTypeList,0)))</f>
        <v/>
      </c>
      <c r="J46" s="37" t="str">
        <f aca="false">IF($D46="","",IF($F46="Yes",INDEX(Doc_Types!$E$2:$E$77,MATCH($D46,DocTypeList,0)),IF(LEFT($H46,6)="REVIEW","Type is 'Depends' — classification is decided by content; paste the scope text to resolve.",IF($H46="YES","Type default is '"&amp;$F46&amp;"' but the text contains "&amp;$G46&amp;" controlled technical term(s) — classification follows content (Wassenaar ML22 technology).",INDEX(Doc_Types!$E$2:$E$77,MATCH($D46,DocTypeList,0))&amp;" Text scan: "&amp;$G46&amp;" controlled term(s), below threshold."))))</f>
        <v/>
      </c>
      <c r="K46" s="51" t="str">
        <f aca="false">IF($H46="YES","EXPORT CONTROLLED",IF($H46="NO","NOT EXPORT CONTROLLED",IF($D46="","","— pending review —")))</f>
        <v/>
      </c>
    </row>
    <row r="47" customFormat="false" ht="30" hidden="false" customHeight="true" outlineLevel="0" collapsed="false">
      <c r="A47" s="48" t="n">
        <v>40</v>
      </c>
      <c r="B47" s="25"/>
      <c r="C47" s="25"/>
      <c r="D47" s="25"/>
      <c r="E47" s="25"/>
      <c r="F47" s="50" t="str">
        <f aca="false">IF($D47="","",INDEX(Doc_Types!$C$2:$C$77,MATCH($D47,DocTypeList,0)))</f>
        <v/>
      </c>
      <c r="G47" s="32" t="str">
        <f aca="false">IF($D47="","",IF($E47="",0,SUMPRODUCT(--ISNUMBER(SEARCH(Keywords!$A$2:$A$136,$E47)),--(Keywords!$A$2:$A$136&lt;&gt;""))))</f>
        <v/>
      </c>
      <c r="H47" s="51" t="str">
        <f aca="false">IF($D47="","",IF($F47="Yes","YES",IF(AND($F47="Depends",$E47=""),"REVIEW — add scope text",IF($F47="Depends",IF($G47&gt;=Classify!$C$40,"YES","NO"),IF($G47&gt;=Classify!$C$41,"YES","NO")))))</f>
        <v/>
      </c>
      <c r="I47" s="12" t="str">
        <f aca="false">IF($D47="","",INDEX(Doc_Types!$D$2:$D$77,MATCH($D47,DocTypeList,0)))</f>
        <v/>
      </c>
      <c r="J47" s="37" t="str">
        <f aca="false">IF($D47="","",IF($F47="Yes",INDEX(Doc_Types!$E$2:$E$77,MATCH($D47,DocTypeList,0)),IF(LEFT($H47,6)="REVIEW","Type is 'Depends' — classification is decided by content; paste the scope text to resolve.",IF($H47="YES","Type default is '"&amp;$F47&amp;"' but the text contains "&amp;$G47&amp;" controlled technical term(s) — classification follows content (Wassenaar ML22 technology).",INDEX(Doc_Types!$E$2:$E$77,MATCH($D47,DocTypeList,0))&amp;" Text scan: "&amp;$G47&amp;" controlled term(s), below threshold."))))</f>
        <v/>
      </c>
      <c r="K47" s="51" t="str">
        <f aca="false">IF($H47="YES","EXPORT CONTROLLED",IF($H47="NO","NOT EXPORT CONTROLLED",IF($D47="","","— pending review —")))</f>
        <v/>
      </c>
    </row>
    <row r="48" customFormat="false" ht="30" hidden="false" customHeight="true" outlineLevel="0" collapsed="false">
      <c r="A48" s="48" t="n">
        <v>41</v>
      </c>
      <c r="B48" s="25"/>
      <c r="C48" s="25"/>
      <c r="D48" s="25"/>
      <c r="E48" s="25"/>
      <c r="F48" s="50" t="str">
        <f aca="false">IF($D48="","",INDEX(Doc_Types!$C$2:$C$77,MATCH($D48,DocTypeList,0)))</f>
        <v/>
      </c>
      <c r="G48" s="32" t="str">
        <f aca="false">IF($D48="","",IF($E48="",0,SUMPRODUCT(--ISNUMBER(SEARCH(Keywords!$A$2:$A$136,$E48)),--(Keywords!$A$2:$A$136&lt;&gt;""))))</f>
        <v/>
      </c>
      <c r="H48" s="51" t="str">
        <f aca="false">IF($D48="","",IF($F48="Yes","YES",IF(AND($F48="Depends",$E48=""),"REVIEW — add scope text",IF($F48="Depends",IF($G48&gt;=Classify!$C$40,"YES","NO"),IF($G48&gt;=Classify!$C$41,"YES","NO")))))</f>
        <v/>
      </c>
      <c r="I48" s="12" t="str">
        <f aca="false">IF($D48="","",INDEX(Doc_Types!$D$2:$D$77,MATCH($D48,DocTypeList,0)))</f>
        <v/>
      </c>
      <c r="J48" s="37" t="str">
        <f aca="false">IF($D48="","",IF($F48="Yes",INDEX(Doc_Types!$E$2:$E$77,MATCH($D48,DocTypeList,0)),IF(LEFT($H48,6)="REVIEW","Type is 'Depends' — classification is decided by content; paste the scope text to resolve.",IF($H48="YES","Type default is '"&amp;$F48&amp;"' but the text contains "&amp;$G48&amp;" controlled technical term(s) — classification follows content (Wassenaar ML22 technology).",INDEX(Doc_Types!$E$2:$E$77,MATCH($D48,DocTypeList,0))&amp;" Text scan: "&amp;$G48&amp;" controlled term(s), below threshold."))))</f>
        <v/>
      </c>
      <c r="K48" s="51" t="str">
        <f aca="false">IF($H48="YES","EXPORT CONTROLLED",IF($H48="NO","NOT EXPORT CONTROLLED",IF($D48="","","— pending review —")))</f>
        <v/>
      </c>
    </row>
    <row r="49" customFormat="false" ht="30" hidden="false" customHeight="true" outlineLevel="0" collapsed="false">
      <c r="A49" s="48" t="n">
        <v>42</v>
      </c>
      <c r="B49" s="25"/>
      <c r="C49" s="25"/>
      <c r="D49" s="25"/>
      <c r="E49" s="25"/>
      <c r="F49" s="50" t="str">
        <f aca="false">IF($D49="","",INDEX(Doc_Types!$C$2:$C$77,MATCH($D49,DocTypeList,0)))</f>
        <v/>
      </c>
      <c r="G49" s="32" t="str">
        <f aca="false">IF($D49="","",IF($E49="",0,SUMPRODUCT(--ISNUMBER(SEARCH(Keywords!$A$2:$A$136,$E49)),--(Keywords!$A$2:$A$136&lt;&gt;""))))</f>
        <v/>
      </c>
      <c r="H49" s="51" t="str">
        <f aca="false">IF($D49="","",IF($F49="Yes","YES",IF(AND($F49="Depends",$E49=""),"REVIEW — add scope text",IF($F49="Depends",IF($G49&gt;=Classify!$C$40,"YES","NO"),IF($G49&gt;=Classify!$C$41,"YES","NO")))))</f>
        <v/>
      </c>
      <c r="I49" s="12" t="str">
        <f aca="false">IF($D49="","",INDEX(Doc_Types!$D$2:$D$77,MATCH($D49,DocTypeList,0)))</f>
        <v/>
      </c>
      <c r="J49" s="37" t="str">
        <f aca="false">IF($D49="","",IF($F49="Yes",INDEX(Doc_Types!$E$2:$E$77,MATCH($D49,DocTypeList,0)),IF(LEFT($H49,6)="REVIEW","Type is 'Depends' — classification is decided by content; paste the scope text to resolve.",IF($H49="YES","Type default is '"&amp;$F49&amp;"' but the text contains "&amp;$G49&amp;" controlled technical term(s) — classification follows content (Wassenaar ML22 technology).",INDEX(Doc_Types!$E$2:$E$77,MATCH($D49,DocTypeList,0))&amp;" Text scan: "&amp;$G49&amp;" controlled term(s), below threshold."))))</f>
        <v/>
      </c>
      <c r="K49" s="51" t="str">
        <f aca="false">IF($H49="YES","EXPORT CONTROLLED",IF($H49="NO","NOT EXPORT CONTROLLED",IF($D49="","","— pending review —")))</f>
        <v/>
      </c>
    </row>
    <row r="50" customFormat="false" ht="30" hidden="false" customHeight="true" outlineLevel="0" collapsed="false">
      <c r="A50" s="48" t="n">
        <v>43</v>
      </c>
      <c r="B50" s="25"/>
      <c r="C50" s="25"/>
      <c r="D50" s="25"/>
      <c r="E50" s="25"/>
      <c r="F50" s="50" t="str">
        <f aca="false">IF($D50="","",INDEX(Doc_Types!$C$2:$C$77,MATCH($D50,DocTypeList,0)))</f>
        <v/>
      </c>
      <c r="G50" s="32" t="str">
        <f aca="false">IF($D50="","",IF($E50="",0,SUMPRODUCT(--ISNUMBER(SEARCH(Keywords!$A$2:$A$136,$E50)),--(Keywords!$A$2:$A$136&lt;&gt;""))))</f>
        <v/>
      </c>
      <c r="H50" s="51" t="str">
        <f aca="false">IF($D50="","",IF($F50="Yes","YES",IF(AND($F50="Depends",$E50=""),"REVIEW — add scope text",IF($F50="Depends",IF($G50&gt;=Classify!$C$40,"YES","NO"),IF($G50&gt;=Classify!$C$41,"YES","NO")))))</f>
        <v/>
      </c>
      <c r="I50" s="12" t="str">
        <f aca="false">IF($D50="","",INDEX(Doc_Types!$D$2:$D$77,MATCH($D50,DocTypeList,0)))</f>
        <v/>
      </c>
      <c r="J50" s="37" t="str">
        <f aca="false">IF($D50="","",IF($F50="Yes",INDEX(Doc_Types!$E$2:$E$77,MATCH($D50,DocTypeList,0)),IF(LEFT($H50,6)="REVIEW","Type is 'Depends' — classification is decided by content; paste the scope text to resolve.",IF($H50="YES","Type default is '"&amp;$F50&amp;"' but the text contains "&amp;$G50&amp;" controlled technical term(s) — classification follows content (Wassenaar ML22 technology).",INDEX(Doc_Types!$E$2:$E$77,MATCH($D50,DocTypeList,0))&amp;" Text scan: "&amp;$G50&amp;" controlled term(s), below threshold."))))</f>
        <v/>
      </c>
      <c r="K50" s="51" t="str">
        <f aca="false">IF($H50="YES","EXPORT CONTROLLED",IF($H50="NO","NOT EXPORT CONTROLLED",IF($D50="","","— pending review —")))</f>
        <v/>
      </c>
    </row>
    <row r="51" customFormat="false" ht="30" hidden="false" customHeight="true" outlineLevel="0" collapsed="false">
      <c r="A51" s="48" t="n">
        <v>44</v>
      </c>
      <c r="B51" s="25"/>
      <c r="C51" s="25"/>
      <c r="D51" s="25"/>
      <c r="E51" s="25"/>
      <c r="F51" s="50" t="str">
        <f aca="false">IF($D51="","",INDEX(Doc_Types!$C$2:$C$77,MATCH($D51,DocTypeList,0)))</f>
        <v/>
      </c>
      <c r="G51" s="32" t="str">
        <f aca="false">IF($D51="","",IF($E51="",0,SUMPRODUCT(--ISNUMBER(SEARCH(Keywords!$A$2:$A$136,$E51)),--(Keywords!$A$2:$A$136&lt;&gt;""))))</f>
        <v/>
      </c>
      <c r="H51" s="51" t="str">
        <f aca="false">IF($D51="","",IF($F51="Yes","YES",IF(AND($F51="Depends",$E51=""),"REVIEW — add scope text",IF($F51="Depends",IF($G51&gt;=Classify!$C$40,"YES","NO"),IF($G51&gt;=Classify!$C$41,"YES","NO")))))</f>
        <v/>
      </c>
      <c r="I51" s="12" t="str">
        <f aca="false">IF($D51="","",INDEX(Doc_Types!$D$2:$D$77,MATCH($D51,DocTypeList,0)))</f>
        <v/>
      </c>
      <c r="J51" s="37" t="str">
        <f aca="false">IF($D51="","",IF($F51="Yes",INDEX(Doc_Types!$E$2:$E$77,MATCH($D51,DocTypeList,0)),IF(LEFT($H51,6)="REVIEW","Type is 'Depends' — classification is decided by content; paste the scope text to resolve.",IF($H51="YES","Type default is '"&amp;$F51&amp;"' but the text contains "&amp;$G51&amp;" controlled technical term(s) — classification follows content (Wassenaar ML22 technology).",INDEX(Doc_Types!$E$2:$E$77,MATCH($D51,DocTypeList,0))&amp;" Text scan: "&amp;$G51&amp;" controlled term(s), below threshold."))))</f>
        <v/>
      </c>
      <c r="K51" s="51" t="str">
        <f aca="false">IF($H51="YES","EXPORT CONTROLLED",IF($H51="NO","NOT EXPORT CONTROLLED",IF($D51="","","— pending review —")))</f>
        <v/>
      </c>
    </row>
    <row r="52" customFormat="false" ht="30" hidden="false" customHeight="true" outlineLevel="0" collapsed="false">
      <c r="A52" s="48" t="n">
        <v>45</v>
      </c>
      <c r="B52" s="25"/>
      <c r="C52" s="25"/>
      <c r="D52" s="25"/>
      <c r="E52" s="25"/>
      <c r="F52" s="50" t="str">
        <f aca="false">IF($D52="","",INDEX(Doc_Types!$C$2:$C$77,MATCH($D52,DocTypeList,0)))</f>
        <v/>
      </c>
      <c r="G52" s="32" t="str">
        <f aca="false">IF($D52="","",IF($E52="",0,SUMPRODUCT(--ISNUMBER(SEARCH(Keywords!$A$2:$A$136,$E52)),--(Keywords!$A$2:$A$136&lt;&gt;""))))</f>
        <v/>
      </c>
      <c r="H52" s="51" t="str">
        <f aca="false">IF($D52="","",IF($F52="Yes","YES",IF(AND($F52="Depends",$E52=""),"REVIEW — add scope text",IF($F52="Depends",IF($G52&gt;=Classify!$C$40,"YES","NO"),IF($G52&gt;=Classify!$C$41,"YES","NO")))))</f>
        <v/>
      </c>
      <c r="I52" s="12" t="str">
        <f aca="false">IF($D52="","",INDEX(Doc_Types!$D$2:$D$77,MATCH($D52,DocTypeList,0)))</f>
        <v/>
      </c>
      <c r="J52" s="37" t="str">
        <f aca="false">IF($D52="","",IF($F52="Yes",INDEX(Doc_Types!$E$2:$E$77,MATCH($D52,DocTypeList,0)),IF(LEFT($H52,6)="REVIEW","Type is 'Depends' — classification is decided by content; paste the scope text to resolve.",IF($H52="YES","Type default is '"&amp;$F52&amp;"' but the text contains "&amp;$G52&amp;" controlled technical term(s) — classification follows content (Wassenaar ML22 technology).",INDEX(Doc_Types!$E$2:$E$77,MATCH($D52,DocTypeList,0))&amp;" Text scan: "&amp;$G52&amp;" controlled term(s), below threshold."))))</f>
        <v/>
      </c>
      <c r="K52" s="51" t="str">
        <f aca="false">IF($H52="YES","EXPORT CONTROLLED",IF($H52="NO","NOT EXPORT CONTROLLED",IF($D52="","","— pending review —")))</f>
        <v/>
      </c>
    </row>
    <row r="53" customFormat="false" ht="30" hidden="false" customHeight="true" outlineLevel="0" collapsed="false">
      <c r="A53" s="48" t="n">
        <v>46</v>
      </c>
      <c r="B53" s="25"/>
      <c r="C53" s="25"/>
      <c r="D53" s="25"/>
      <c r="E53" s="25"/>
      <c r="F53" s="50" t="str">
        <f aca="false">IF($D53="","",INDEX(Doc_Types!$C$2:$C$77,MATCH($D53,DocTypeList,0)))</f>
        <v/>
      </c>
      <c r="G53" s="32" t="str">
        <f aca="false">IF($D53="","",IF($E53="",0,SUMPRODUCT(--ISNUMBER(SEARCH(Keywords!$A$2:$A$136,$E53)),--(Keywords!$A$2:$A$136&lt;&gt;""))))</f>
        <v/>
      </c>
      <c r="H53" s="51" t="str">
        <f aca="false">IF($D53="","",IF($F53="Yes","YES",IF(AND($F53="Depends",$E53=""),"REVIEW — add scope text",IF($F53="Depends",IF($G53&gt;=Classify!$C$40,"YES","NO"),IF($G53&gt;=Classify!$C$41,"YES","NO")))))</f>
        <v/>
      </c>
      <c r="I53" s="12" t="str">
        <f aca="false">IF($D53="","",INDEX(Doc_Types!$D$2:$D$77,MATCH($D53,DocTypeList,0)))</f>
        <v/>
      </c>
      <c r="J53" s="37" t="str">
        <f aca="false">IF($D53="","",IF($F53="Yes",INDEX(Doc_Types!$E$2:$E$77,MATCH($D53,DocTypeList,0)),IF(LEFT($H53,6)="REVIEW","Type is 'Depends' — classification is decided by content; paste the scope text to resolve.",IF($H53="YES","Type default is '"&amp;$F53&amp;"' but the text contains "&amp;$G53&amp;" controlled technical term(s) — classification follows content (Wassenaar ML22 technology).",INDEX(Doc_Types!$E$2:$E$77,MATCH($D53,DocTypeList,0))&amp;" Text scan: "&amp;$G53&amp;" controlled term(s), below threshold."))))</f>
        <v/>
      </c>
      <c r="K53" s="51" t="str">
        <f aca="false">IF($H53="YES","EXPORT CONTROLLED",IF($H53="NO","NOT EXPORT CONTROLLED",IF($D53="","","— pending review —")))</f>
        <v/>
      </c>
    </row>
    <row r="54" customFormat="false" ht="30" hidden="false" customHeight="true" outlineLevel="0" collapsed="false">
      <c r="A54" s="48" t="n">
        <v>47</v>
      </c>
      <c r="B54" s="25"/>
      <c r="C54" s="25"/>
      <c r="D54" s="25"/>
      <c r="E54" s="25"/>
      <c r="F54" s="50" t="str">
        <f aca="false">IF($D54="","",INDEX(Doc_Types!$C$2:$C$77,MATCH($D54,DocTypeList,0)))</f>
        <v/>
      </c>
      <c r="G54" s="32" t="str">
        <f aca="false">IF($D54="","",IF($E54="",0,SUMPRODUCT(--ISNUMBER(SEARCH(Keywords!$A$2:$A$136,$E54)),--(Keywords!$A$2:$A$136&lt;&gt;""))))</f>
        <v/>
      </c>
      <c r="H54" s="51" t="str">
        <f aca="false">IF($D54="","",IF($F54="Yes","YES",IF(AND($F54="Depends",$E54=""),"REVIEW — add scope text",IF($F54="Depends",IF($G54&gt;=Classify!$C$40,"YES","NO"),IF($G54&gt;=Classify!$C$41,"YES","NO")))))</f>
        <v/>
      </c>
      <c r="I54" s="12" t="str">
        <f aca="false">IF($D54="","",INDEX(Doc_Types!$D$2:$D$77,MATCH($D54,DocTypeList,0)))</f>
        <v/>
      </c>
      <c r="J54" s="37" t="str">
        <f aca="false">IF($D54="","",IF($F54="Yes",INDEX(Doc_Types!$E$2:$E$77,MATCH($D54,DocTypeList,0)),IF(LEFT($H54,6)="REVIEW","Type is 'Depends' — classification is decided by content; paste the scope text to resolve.",IF($H54="YES","Type default is '"&amp;$F54&amp;"' but the text contains "&amp;$G54&amp;" controlled technical term(s) — classification follows content (Wassenaar ML22 technology).",INDEX(Doc_Types!$E$2:$E$77,MATCH($D54,DocTypeList,0))&amp;" Text scan: "&amp;$G54&amp;" controlled term(s), below threshold."))))</f>
        <v/>
      </c>
      <c r="K54" s="51" t="str">
        <f aca="false">IF($H54="YES","EXPORT CONTROLLED",IF($H54="NO","NOT EXPORT CONTROLLED",IF($D54="","","— pending review —")))</f>
        <v/>
      </c>
    </row>
    <row r="55" customFormat="false" ht="30" hidden="false" customHeight="true" outlineLevel="0" collapsed="false">
      <c r="A55" s="48" t="n">
        <v>48</v>
      </c>
      <c r="B55" s="25"/>
      <c r="C55" s="25"/>
      <c r="D55" s="25"/>
      <c r="E55" s="25"/>
      <c r="F55" s="50" t="str">
        <f aca="false">IF($D55="","",INDEX(Doc_Types!$C$2:$C$77,MATCH($D55,DocTypeList,0)))</f>
        <v/>
      </c>
      <c r="G55" s="32" t="str">
        <f aca="false">IF($D55="","",IF($E55="",0,SUMPRODUCT(--ISNUMBER(SEARCH(Keywords!$A$2:$A$136,$E55)),--(Keywords!$A$2:$A$136&lt;&gt;""))))</f>
        <v/>
      </c>
      <c r="H55" s="51" t="str">
        <f aca="false">IF($D55="","",IF($F55="Yes","YES",IF(AND($F55="Depends",$E55=""),"REVIEW — add scope text",IF($F55="Depends",IF($G55&gt;=Classify!$C$40,"YES","NO"),IF($G55&gt;=Classify!$C$41,"YES","NO")))))</f>
        <v/>
      </c>
      <c r="I55" s="12" t="str">
        <f aca="false">IF($D55="","",INDEX(Doc_Types!$D$2:$D$77,MATCH($D55,DocTypeList,0)))</f>
        <v/>
      </c>
      <c r="J55" s="37" t="str">
        <f aca="false">IF($D55="","",IF($F55="Yes",INDEX(Doc_Types!$E$2:$E$77,MATCH($D55,DocTypeList,0)),IF(LEFT($H55,6)="REVIEW","Type is 'Depends' — classification is decided by content; paste the scope text to resolve.",IF($H55="YES","Type default is '"&amp;$F55&amp;"' but the text contains "&amp;$G55&amp;" controlled technical term(s) — classification follows content (Wassenaar ML22 technology).",INDEX(Doc_Types!$E$2:$E$77,MATCH($D55,DocTypeList,0))&amp;" Text scan: "&amp;$G55&amp;" controlled term(s), below threshold."))))</f>
        <v/>
      </c>
      <c r="K55" s="51" t="str">
        <f aca="false">IF($H55="YES","EXPORT CONTROLLED",IF($H55="NO","NOT EXPORT CONTROLLED",IF($D55="","","— pending review —")))</f>
        <v/>
      </c>
    </row>
    <row r="56" customFormat="false" ht="30" hidden="false" customHeight="true" outlineLevel="0" collapsed="false">
      <c r="A56" s="48" t="n">
        <v>49</v>
      </c>
      <c r="B56" s="25"/>
      <c r="C56" s="25"/>
      <c r="D56" s="25"/>
      <c r="E56" s="25"/>
      <c r="F56" s="50" t="str">
        <f aca="false">IF($D56="","",INDEX(Doc_Types!$C$2:$C$77,MATCH($D56,DocTypeList,0)))</f>
        <v/>
      </c>
      <c r="G56" s="32" t="str">
        <f aca="false">IF($D56="","",IF($E56="",0,SUMPRODUCT(--ISNUMBER(SEARCH(Keywords!$A$2:$A$136,$E56)),--(Keywords!$A$2:$A$136&lt;&gt;""))))</f>
        <v/>
      </c>
      <c r="H56" s="51" t="str">
        <f aca="false">IF($D56="","",IF($F56="Yes","YES",IF(AND($F56="Depends",$E56=""),"REVIEW — add scope text",IF($F56="Depends",IF($G56&gt;=Classify!$C$40,"YES","NO"),IF($G56&gt;=Classify!$C$41,"YES","NO")))))</f>
        <v/>
      </c>
      <c r="I56" s="12" t="str">
        <f aca="false">IF($D56="","",INDEX(Doc_Types!$D$2:$D$77,MATCH($D56,DocTypeList,0)))</f>
        <v/>
      </c>
      <c r="J56" s="37" t="str">
        <f aca="false">IF($D56="","",IF($F56="Yes",INDEX(Doc_Types!$E$2:$E$77,MATCH($D56,DocTypeList,0)),IF(LEFT($H56,6)="REVIEW","Type is 'Depends' — classification is decided by content; paste the scope text to resolve.",IF($H56="YES","Type default is '"&amp;$F56&amp;"' but the text contains "&amp;$G56&amp;" controlled technical term(s) — classification follows content (Wassenaar ML22 technology).",INDEX(Doc_Types!$E$2:$E$77,MATCH($D56,DocTypeList,0))&amp;" Text scan: "&amp;$G56&amp;" controlled term(s), below threshold."))))</f>
        <v/>
      </c>
      <c r="K56" s="51" t="str">
        <f aca="false">IF($H56="YES","EXPORT CONTROLLED",IF($H56="NO","NOT EXPORT CONTROLLED",IF($D56="","","— pending review —")))</f>
        <v/>
      </c>
    </row>
    <row r="57" customFormat="false" ht="30" hidden="false" customHeight="true" outlineLevel="0" collapsed="false">
      <c r="A57" s="48" t="n">
        <v>50</v>
      </c>
      <c r="B57" s="25"/>
      <c r="C57" s="25"/>
      <c r="D57" s="25"/>
      <c r="E57" s="25"/>
      <c r="F57" s="50" t="str">
        <f aca="false">IF($D57="","",INDEX(Doc_Types!$C$2:$C$77,MATCH($D57,DocTypeList,0)))</f>
        <v/>
      </c>
      <c r="G57" s="32" t="str">
        <f aca="false">IF($D57="","",IF($E57="",0,SUMPRODUCT(--ISNUMBER(SEARCH(Keywords!$A$2:$A$136,$E57)),--(Keywords!$A$2:$A$136&lt;&gt;""))))</f>
        <v/>
      </c>
      <c r="H57" s="51" t="str">
        <f aca="false">IF($D57="","",IF($F57="Yes","YES",IF(AND($F57="Depends",$E57=""),"REVIEW — add scope text",IF($F57="Depends",IF($G57&gt;=Classify!$C$40,"YES","NO"),IF($G57&gt;=Classify!$C$41,"YES","NO")))))</f>
        <v/>
      </c>
      <c r="I57" s="12" t="str">
        <f aca="false">IF($D57="","",INDEX(Doc_Types!$D$2:$D$77,MATCH($D57,DocTypeList,0)))</f>
        <v/>
      </c>
      <c r="J57" s="37" t="str">
        <f aca="false">IF($D57="","",IF($F57="Yes",INDEX(Doc_Types!$E$2:$E$77,MATCH($D57,DocTypeList,0)),IF(LEFT($H57,6)="REVIEW","Type is 'Depends' — classification is decided by content; paste the scope text to resolve.",IF($H57="YES","Type default is '"&amp;$F57&amp;"' but the text contains "&amp;$G57&amp;" controlled technical term(s) — classification follows content (Wassenaar ML22 technology).",INDEX(Doc_Types!$E$2:$E$77,MATCH($D57,DocTypeList,0))&amp;" Text scan: "&amp;$G57&amp;" controlled term(s), below threshold."))))</f>
        <v/>
      </c>
      <c r="K57" s="51" t="str">
        <f aca="false">IF($H57="YES","EXPORT CONTROLLED",IF($H57="NO","NOT EXPORT CONTROLLED",IF($D57="","","— pending review —")))</f>
        <v/>
      </c>
    </row>
    <row r="58" customFormat="false" ht="30" hidden="false" customHeight="true" outlineLevel="0" collapsed="false">
      <c r="A58" s="48" t="n">
        <v>51</v>
      </c>
      <c r="B58" s="25"/>
      <c r="C58" s="25"/>
      <c r="D58" s="25"/>
      <c r="E58" s="25"/>
      <c r="F58" s="50" t="str">
        <f aca="false">IF($D58="","",INDEX(Doc_Types!$C$2:$C$77,MATCH($D58,DocTypeList,0)))</f>
        <v/>
      </c>
      <c r="G58" s="32" t="str">
        <f aca="false">IF($D58="","",IF($E58="",0,SUMPRODUCT(--ISNUMBER(SEARCH(Keywords!$A$2:$A$136,$E58)),--(Keywords!$A$2:$A$136&lt;&gt;""))))</f>
        <v/>
      </c>
      <c r="H58" s="51" t="str">
        <f aca="false">IF($D58="","",IF($F58="Yes","YES",IF(AND($F58="Depends",$E58=""),"REVIEW — add scope text",IF($F58="Depends",IF($G58&gt;=Classify!$C$40,"YES","NO"),IF($G58&gt;=Classify!$C$41,"YES","NO")))))</f>
        <v/>
      </c>
      <c r="I58" s="12" t="str">
        <f aca="false">IF($D58="","",INDEX(Doc_Types!$D$2:$D$77,MATCH($D58,DocTypeList,0)))</f>
        <v/>
      </c>
      <c r="J58" s="37" t="str">
        <f aca="false">IF($D58="","",IF($F58="Yes",INDEX(Doc_Types!$E$2:$E$77,MATCH($D58,DocTypeList,0)),IF(LEFT($H58,6)="REVIEW","Type is 'Depends' — classification is decided by content; paste the scope text to resolve.",IF($H58="YES","Type default is '"&amp;$F58&amp;"' but the text contains "&amp;$G58&amp;" controlled technical term(s) — classification follows content (Wassenaar ML22 technology).",INDEX(Doc_Types!$E$2:$E$77,MATCH($D58,DocTypeList,0))&amp;" Text scan: "&amp;$G58&amp;" controlled term(s), below threshold."))))</f>
        <v/>
      </c>
      <c r="K58" s="51" t="str">
        <f aca="false">IF($H58="YES","EXPORT CONTROLLED",IF($H58="NO","NOT EXPORT CONTROLLED",IF($D58="","","— pending review —")))</f>
        <v/>
      </c>
    </row>
    <row r="59" customFormat="false" ht="30" hidden="false" customHeight="true" outlineLevel="0" collapsed="false">
      <c r="A59" s="48" t="n">
        <v>52</v>
      </c>
      <c r="B59" s="25"/>
      <c r="C59" s="25"/>
      <c r="D59" s="25"/>
      <c r="E59" s="25"/>
      <c r="F59" s="50" t="str">
        <f aca="false">IF($D59="","",INDEX(Doc_Types!$C$2:$C$77,MATCH($D59,DocTypeList,0)))</f>
        <v/>
      </c>
      <c r="G59" s="32" t="str">
        <f aca="false">IF($D59="","",IF($E59="",0,SUMPRODUCT(--ISNUMBER(SEARCH(Keywords!$A$2:$A$136,$E59)),--(Keywords!$A$2:$A$136&lt;&gt;""))))</f>
        <v/>
      </c>
      <c r="H59" s="51" t="str">
        <f aca="false">IF($D59="","",IF($F59="Yes","YES",IF(AND($F59="Depends",$E59=""),"REVIEW — add scope text",IF($F59="Depends",IF($G59&gt;=Classify!$C$40,"YES","NO"),IF($G59&gt;=Classify!$C$41,"YES","NO")))))</f>
        <v/>
      </c>
      <c r="I59" s="12" t="str">
        <f aca="false">IF($D59="","",INDEX(Doc_Types!$D$2:$D$77,MATCH($D59,DocTypeList,0)))</f>
        <v/>
      </c>
      <c r="J59" s="37" t="str">
        <f aca="false">IF($D59="","",IF($F59="Yes",INDEX(Doc_Types!$E$2:$E$77,MATCH($D59,DocTypeList,0)),IF(LEFT($H59,6)="REVIEW","Type is 'Depends' — classification is decided by content; paste the scope text to resolve.",IF($H59="YES","Type default is '"&amp;$F59&amp;"' but the text contains "&amp;$G59&amp;" controlled technical term(s) — classification follows content (Wassenaar ML22 technology).",INDEX(Doc_Types!$E$2:$E$77,MATCH($D59,DocTypeList,0))&amp;" Text scan: "&amp;$G59&amp;" controlled term(s), below threshold."))))</f>
        <v/>
      </c>
      <c r="K59" s="51" t="str">
        <f aca="false">IF($H59="YES","EXPORT CONTROLLED",IF($H59="NO","NOT EXPORT CONTROLLED",IF($D59="","","— pending review —")))</f>
        <v/>
      </c>
    </row>
    <row r="60" customFormat="false" ht="30" hidden="false" customHeight="true" outlineLevel="0" collapsed="false">
      <c r="A60" s="48" t="n">
        <v>53</v>
      </c>
      <c r="B60" s="25"/>
      <c r="C60" s="25"/>
      <c r="D60" s="25"/>
      <c r="E60" s="25"/>
      <c r="F60" s="50" t="str">
        <f aca="false">IF($D60="","",INDEX(Doc_Types!$C$2:$C$77,MATCH($D60,DocTypeList,0)))</f>
        <v/>
      </c>
      <c r="G60" s="32" t="str">
        <f aca="false">IF($D60="","",IF($E60="",0,SUMPRODUCT(--ISNUMBER(SEARCH(Keywords!$A$2:$A$136,$E60)),--(Keywords!$A$2:$A$136&lt;&gt;""))))</f>
        <v/>
      </c>
      <c r="H60" s="51" t="str">
        <f aca="false">IF($D60="","",IF($F60="Yes","YES",IF(AND($F60="Depends",$E60=""),"REVIEW — add scope text",IF($F60="Depends",IF($G60&gt;=Classify!$C$40,"YES","NO"),IF($G60&gt;=Classify!$C$41,"YES","NO")))))</f>
        <v/>
      </c>
      <c r="I60" s="12" t="str">
        <f aca="false">IF($D60="","",INDEX(Doc_Types!$D$2:$D$77,MATCH($D60,DocTypeList,0)))</f>
        <v/>
      </c>
      <c r="J60" s="37" t="str">
        <f aca="false">IF($D60="","",IF($F60="Yes",INDEX(Doc_Types!$E$2:$E$77,MATCH($D60,DocTypeList,0)),IF(LEFT($H60,6)="REVIEW","Type is 'Depends' — classification is decided by content; paste the scope text to resolve.",IF($H60="YES","Type default is '"&amp;$F60&amp;"' but the text contains "&amp;$G60&amp;" controlled technical term(s) — classification follows content (Wassenaar ML22 technology).",INDEX(Doc_Types!$E$2:$E$77,MATCH($D60,DocTypeList,0))&amp;" Text scan: "&amp;$G60&amp;" controlled term(s), below threshold."))))</f>
        <v/>
      </c>
      <c r="K60" s="51" t="str">
        <f aca="false">IF($H60="YES","EXPORT CONTROLLED",IF($H60="NO","NOT EXPORT CONTROLLED",IF($D60="","","— pending review —")))</f>
        <v/>
      </c>
    </row>
    <row r="61" customFormat="false" ht="30" hidden="false" customHeight="true" outlineLevel="0" collapsed="false">
      <c r="A61" s="48" t="n">
        <v>54</v>
      </c>
      <c r="B61" s="25"/>
      <c r="C61" s="25"/>
      <c r="D61" s="25"/>
      <c r="E61" s="25"/>
      <c r="F61" s="50" t="str">
        <f aca="false">IF($D61="","",INDEX(Doc_Types!$C$2:$C$77,MATCH($D61,DocTypeList,0)))</f>
        <v/>
      </c>
      <c r="G61" s="32" t="str">
        <f aca="false">IF($D61="","",IF($E61="",0,SUMPRODUCT(--ISNUMBER(SEARCH(Keywords!$A$2:$A$136,$E61)),--(Keywords!$A$2:$A$136&lt;&gt;""))))</f>
        <v/>
      </c>
      <c r="H61" s="51" t="str">
        <f aca="false">IF($D61="","",IF($F61="Yes","YES",IF(AND($F61="Depends",$E61=""),"REVIEW — add scope text",IF($F61="Depends",IF($G61&gt;=Classify!$C$40,"YES","NO"),IF($G61&gt;=Classify!$C$41,"YES","NO")))))</f>
        <v/>
      </c>
      <c r="I61" s="12" t="str">
        <f aca="false">IF($D61="","",INDEX(Doc_Types!$D$2:$D$77,MATCH($D61,DocTypeList,0)))</f>
        <v/>
      </c>
      <c r="J61" s="37" t="str">
        <f aca="false">IF($D61="","",IF($F61="Yes",INDEX(Doc_Types!$E$2:$E$77,MATCH($D61,DocTypeList,0)),IF(LEFT($H61,6)="REVIEW","Type is 'Depends' — classification is decided by content; paste the scope text to resolve.",IF($H61="YES","Type default is '"&amp;$F61&amp;"' but the text contains "&amp;$G61&amp;" controlled technical term(s) — classification follows content (Wassenaar ML22 technology).",INDEX(Doc_Types!$E$2:$E$77,MATCH($D61,DocTypeList,0))&amp;" Text scan: "&amp;$G61&amp;" controlled term(s), below threshold."))))</f>
        <v/>
      </c>
      <c r="K61" s="51" t="str">
        <f aca="false">IF($H61="YES","EXPORT CONTROLLED",IF($H61="NO","NOT EXPORT CONTROLLED",IF($D61="","","— pending review —")))</f>
        <v/>
      </c>
    </row>
    <row r="62" customFormat="false" ht="30" hidden="false" customHeight="true" outlineLevel="0" collapsed="false">
      <c r="A62" s="48" t="n">
        <v>55</v>
      </c>
      <c r="B62" s="25"/>
      <c r="C62" s="25"/>
      <c r="D62" s="25"/>
      <c r="E62" s="25"/>
      <c r="F62" s="50" t="str">
        <f aca="false">IF($D62="","",INDEX(Doc_Types!$C$2:$C$77,MATCH($D62,DocTypeList,0)))</f>
        <v/>
      </c>
      <c r="G62" s="32" t="str">
        <f aca="false">IF($D62="","",IF($E62="",0,SUMPRODUCT(--ISNUMBER(SEARCH(Keywords!$A$2:$A$136,$E62)),--(Keywords!$A$2:$A$136&lt;&gt;""))))</f>
        <v/>
      </c>
      <c r="H62" s="51" t="str">
        <f aca="false">IF($D62="","",IF($F62="Yes","YES",IF(AND($F62="Depends",$E62=""),"REVIEW — add scope text",IF($F62="Depends",IF($G62&gt;=Classify!$C$40,"YES","NO"),IF($G62&gt;=Classify!$C$41,"YES","NO")))))</f>
        <v/>
      </c>
      <c r="I62" s="12" t="str">
        <f aca="false">IF($D62="","",INDEX(Doc_Types!$D$2:$D$77,MATCH($D62,DocTypeList,0)))</f>
        <v/>
      </c>
      <c r="J62" s="37" t="str">
        <f aca="false">IF($D62="","",IF($F62="Yes",INDEX(Doc_Types!$E$2:$E$77,MATCH($D62,DocTypeList,0)),IF(LEFT($H62,6)="REVIEW","Type is 'Depends' — classification is decided by content; paste the scope text to resolve.",IF($H62="YES","Type default is '"&amp;$F62&amp;"' but the text contains "&amp;$G62&amp;" controlled technical term(s) — classification follows content (Wassenaar ML22 technology).",INDEX(Doc_Types!$E$2:$E$77,MATCH($D62,DocTypeList,0))&amp;" Text scan: "&amp;$G62&amp;" controlled term(s), below threshold."))))</f>
        <v/>
      </c>
      <c r="K62" s="51" t="str">
        <f aca="false">IF($H62="YES","EXPORT CONTROLLED",IF($H62="NO","NOT EXPORT CONTROLLED",IF($D62="","","— pending review —")))</f>
        <v/>
      </c>
    </row>
    <row r="63" customFormat="false" ht="30" hidden="false" customHeight="true" outlineLevel="0" collapsed="false">
      <c r="A63" s="48" t="n">
        <v>56</v>
      </c>
      <c r="B63" s="25"/>
      <c r="C63" s="25"/>
      <c r="D63" s="25"/>
      <c r="E63" s="25"/>
      <c r="F63" s="50" t="str">
        <f aca="false">IF($D63="","",INDEX(Doc_Types!$C$2:$C$77,MATCH($D63,DocTypeList,0)))</f>
        <v/>
      </c>
      <c r="G63" s="32" t="str">
        <f aca="false">IF($D63="","",IF($E63="",0,SUMPRODUCT(--ISNUMBER(SEARCH(Keywords!$A$2:$A$136,$E63)),--(Keywords!$A$2:$A$136&lt;&gt;""))))</f>
        <v/>
      </c>
      <c r="H63" s="51" t="str">
        <f aca="false">IF($D63="","",IF($F63="Yes","YES",IF(AND($F63="Depends",$E63=""),"REVIEW — add scope text",IF($F63="Depends",IF($G63&gt;=Classify!$C$40,"YES","NO"),IF($G63&gt;=Classify!$C$41,"YES","NO")))))</f>
        <v/>
      </c>
      <c r="I63" s="12" t="str">
        <f aca="false">IF($D63="","",INDEX(Doc_Types!$D$2:$D$77,MATCH($D63,DocTypeList,0)))</f>
        <v/>
      </c>
      <c r="J63" s="37" t="str">
        <f aca="false">IF($D63="","",IF($F63="Yes",INDEX(Doc_Types!$E$2:$E$77,MATCH($D63,DocTypeList,0)),IF(LEFT($H63,6)="REVIEW","Type is 'Depends' — classification is decided by content; paste the scope text to resolve.",IF($H63="YES","Type default is '"&amp;$F63&amp;"' but the text contains "&amp;$G63&amp;" controlled technical term(s) — classification follows content (Wassenaar ML22 technology).",INDEX(Doc_Types!$E$2:$E$77,MATCH($D63,DocTypeList,0))&amp;" Text scan: "&amp;$G63&amp;" controlled term(s), below threshold."))))</f>
        <v/>
      </c>
      <c r="K63" s="51" t="str">
        <f aca="false">IF($H63="YES","EXPORT CONTROLLED",IF($H63="NO","NOT EXPORT CONTROLLED",IF($D63="","","— pending review —")))</f>
        <v/>
      </c>
    </row>
    <row r="64" customFormat="false" ht="30" hidden="false" customHeight="true" outlineLevel="0" collapsed="false">
      <c r="A64" s="48" t="n">
        <v>57</v>
      </c>
      <c r="B64" s="25"/>
      <c r="C64" s="25"/>
      <c r="D64" s="25"/>
      <c r="E64" s="25"/>
      <c r="F64" s="50" t="str">
        <f aca="false">IF($D64="","",INDEX(Doc_Types!$C$2:$C$77,MATCH($D64,DocTypeList,0)))</f>
        <v/>
      </c>
      <c r="G64" s="32" t="str">
        <f aca="false">IF($D64="","",IF($E64="",0,SUMPRODUCT(--ISNUMBER(SEARCH(Keywords!$A$2:$A$136,$E64)),--(Keywords!$A$2:$A$136&lt;&gt;""))))</f>
        <v/>
      </c>
      <c r="H64" s="51" t="str">
        <f aca="false">IF($D64="","",IF($F64="Yes","YES",IF(AND($F64="Depends",$E64=""),"REVIEW — add scope text",IF($F64="Depends",IF($G64&gt;=Classify!$C$40,"YES","NO"),IF($G64&gt;=Classify!$C$41,"YES","NO")))))</f>
        <v/>
      </c>
      <c r="I64" s="12" t="str">
        <f aca="false">IF($D64="","",INDEX(Doc_Types!$D$2:$D$77,MATCH($D64,DocTypeList,0)))</f>
        <v/>
      </c>
      <c r="J64" s="37" t="str">
        <f aca="false">IF($D64="","",IF($F64="Yes",INDEX(Doc_Types!$E$2:$E$77,MATCH($D64,DocTypeList,0)),IF(LEFT($H64,6)="REVIEW","Type is 'Depends' — classification is decided by content; paste the scope text to resolve.",IF($H64="YES","Type default is '"&amp;$F64&amp;"' but the text contains "&amp;$G64&amp;" controlled technical term(s) — classification follows content (Wassenaar ML22 technology).",INDEX(Doc_Types!$E$2:$E$77,MATCH($D64,DocTypeList,0))&amp;" Text scan: "&amp;$G64&amp;" controlled term(s), below threshold."))))</f>
        <v/>
      </c>
      <c r="K64" s="51" t="str">
        <f aca="false">IF($H64="YES","EXPORT CONTROLLED",IF($H64="NO","NOT EXPORT CONTROLLED",IF($D64="","","— pending review —")))</f>
        <v/>
      </c>
    </row>
    <row r="65" customFormat="false" ht="30" hidden="false" customHeight="true" outlineLevel="0" collapsed="false">
      <c r="A65" s="48" t="n">
        <v>58</v>
      </c>
      <c r="B65" s="25"/>
      <c r="C65" s="25"/>
      <c r="D65" s="25"/>
      <c r="E65" s="25"/>
      <c r="F65" s="50" t="str">
        <f aca="false">IF($D65="","",INDEX(Doc_Types!$C$2:$C$77,MATCH($D65,DocTypeList,0)))</f>
        <v/>
      </c>
      <c r="G65" s="32" t="str">
        <f aca="false">IF($D65="","",IF($E65="",0,SUMPRODUCT(--ISNUMBER(SEARCH(Keywords!$A$2:$A$136,$E65)),--(Keywords!$A$2:$A$136&lt;&gt;""))))</f>
        <v/>
      </c>
      <c r="H65" s="51" t="str">
        <f aca="false">IF($D65="","",IF($F65="Yes","YES",IF(AND($F65="Depends",$E65=""),"REVIEW — add scope text",IF($F65="Depends",IF($G65&gt;=Classify!$C$40,"YES","NO"),IF($G65&gt;=Classify!$C$41,"YES","NO")))))</f>
        <v/>
      </c>
      <c r="I65" s="12" t="str">
        <f aca="false">IF($D65="","",INDEX(Doc_Types!$D$2:$D$77,MATCH($D65,DocTypeList,0)))</f>
        <v/>
      </c>
      <c r="J65" s="37" t="str">
        <f aca="false">IF($D65="","",IF($F65="Yes",INDEX(Doc_Types!$E$2:$E$77,MATCH($D65,DocTypeList,0)),IF(LEFT($H65,6)="REVIEW","Type is 'Depends' — classification is decided by content; paste the scope text to resolve.",IF($H65="YES","Type default is '"&amp;$F65&amp;"' but the text contains "&amp;$G65&amp;" controlled technical term(s) — classification follows content (Wassenaar ML22 technology).",INDEX(Doc_Types!$E$2:$E$77,MATCH($D65,DocTypeList,0))&amp;" Text scan: "&amp;$G65&amp;" controlled term(s), below threshold."))))</f>
        <v/>
      </c>
      <c r="K65" s="51" t="str">
        <f aca="false">IF($H65="YES","EXPORT CONTROLLED",IF($H65="NO","NOT EXPORT CONTROLLED",IF($D65="","","— pending review —")))</f>
        <v/>
      </c>
    </row>
    <row r="66" customFormat="false" ht="30" hidden="false" customHeight="true" outlineLevel="0" collapsed="false">
      <c r="A66" s="48" t="n">
        <v>59</v>
      </c>
      <c r="B66" s="25"/>
      <c r="C66" s="25"/>
      <c r="D66" s="25"/>
      <c r="E66" s="25"/>
      <c r="F66" s="50" t="str">
        <f aca="false">IF($D66="","",INDEX(Doc_Types!$C$2:$C$77,MATCH($D66,DocTypeList,0)))</f>
        <v/>
      </c>
      <c r="G66" s="32" t="str">
        <f aca="false">IF($D66="","",IF($E66="",0,SUMPRODUCT(--ISNUMBER(SEARCH(Keywords!$A$2:$A$136,$E66)),--(Keywords!$A$2:$A$136&lt;&gt;""))))</f>
        <v/>
      </c>
      <c r="H66" s="51" t="str">
        <f aca="false">IF($D66="","",IF($F66="Yes","YES",IF(AND($F66="Depends",$E66=""),"REVIEW — add scope text",IF($F66="Depends",IF($G66&gt;=Classify!$C$40,"YES","NO"),IF($G66&gt;=Classify!$C$41,"YES","NO")))))</f>
        <v/>
      </c>
      <c r="I66" s="12" t="str">
        <f aca="false">IF($D66="","",INDEX(Doc_Types!$D$2:$D$77,MATCH($D66,DocTypeList,0)))</f>
        <v/>
      </c>
      <c r="J66" s="37" t="str">
        <f aca="false">IF($D66="","",IF($F66="Yes",INDEX(Doc_Types!$E$2:$E$77,MATCH($D66,DocTypeList,0)),IF(LEFT($H66,6)="REVIEW","Type is 'Depends' — classification is decided by content; paste the scope text to resolve.",IF($H66="YES","Type default is '"&amp;$F66&amp;"' but the text contains "&amp;$G66&amp;" controlled technical term(s) — classification follows content (Wassenaar ML22 technology).",INDEX(Doc_Types!$E$2:$E$77,MATCH($D66,DocTypeList,0))&amp;" Text scan: "&amp;$G66&amp;" controlled term(s), below threshold."))))</f>
        <v/>
      </c>
      <c r="K66" s="51" t="str">
        <f aca="false">IF($H66="YES","EXPORT CONTROLLED",IF($H66="NO","NOT EXPORT CONTROLLED",IF($D66="","","— pending review —")))</f>
        <v/>
      </c>
    </row>
    <row r="67" customFormat="false" ht="30" hidden="false" customHeight="true" outlineLevel="0" collapsed="false">
      <c r="A67" s="48" t="n">
        <v>60</v>
      </c>
      <c r="B67" s="25"/>
      <c r="C67" s="25"/>
      <c r="D67" s="25"/>
      <c r="E67" s="25"/>
      <c r="F67" s="50" t="str">
        <f aca="false">IF($D67="","",INDEX(Doc_Types!$C$2:$C$77,MATCH($D67,DocTypeList,0)))</f>
        <v/>
      </c>
      <c r="G67" s="32" t="str">
        <f aca="false">IF($D67="","",IF($E67="",0,SUMPRODUCT(--ISNUMBER(SEARCH(Keywords!$A$2:$A$136,$E67)),--(Keywords!$A$2:$A$136&lt;&gt;""))))</f>
        <v/>
      </c>
      <c r="H67" s="51" t="str">
        <f aca="false">IF($D67="","",IF($F67="Yes","YES",IF(AND($F67="Depends",$E67=""),"REVIEW — add scope text",IF($F67="Depends",IF($G67&gt;=Classify!$C$40,"YES","NO"),IF($G67&gt;=Classify!$C$41,"YES","NO")))))</f>
        <v/>
      </c>
      <c r="I67" s="12" t="str">
        <f aca="false">IF($D67="","",INDEX(Doc_Types!$D$2:$D$77,MATCH($D67,DocTypeList,0)))</f>
        <v/>
      </c>
      <c r="J67" s="37" t="str">
        <f aca="false">IF($D67="","",IF($F67="Yes",INDEX(Doc_Types!$E$2:$E$77,MATCH($D67,DocTypeList,0)),IF(LEFT($H67,6)="REVIEW","Type is 'Depends' — classification is decided by content; paste the scope text to resolve.",IF($H67="YES","Type default is '"&amp;$F67&amp;"' but the text contains "&amp;$G67&amp;" controlled technical term(s) — classification follows content (Wassenaar ML22 technology).",INDEX(Doc_Types!$E$2:$E$77,MATCH($D67,DocTypeList,0))&amp;" Text scan: "&amp;$G67&amp;" controlled term(s), below threshold."))))</f>
        <v/>
      </c>
      <c r="K67" s="51" t="str">
        <f aca="false">IF($H67="YES","EXPORT CONTROLLED",IF($H67="NO","NOT EXPORT CONTROLLED",IF($D67="","","— pending review —")))</f>
        <v/>
      </c>
    </row>
    <row r="68" customFormat="false" ht="30" hidden="false" customHeight="true" outlineLevel="0" collapsed="false">
      <c r="A68" s="48" t="n">
        <v>61</v>
      </c>
      <c r="B68" s="25"/>
      <c r="C68" s="25"/>
      <c r="D68" s="25"/>
      <c r="E68" s="25"/>
      <c r="F68" s="50" t="str">
        <f aca="false">IF($D68="","",INDEX(Doc_Types!$C$2:$C$77,MATCH($D68,DocTypeList,0)))</f>
        <v/>
      </c>
      <c r="G68" s="32" t="str">
        <f aca="false">IF($D68="","",IF($E68="",0,SUMPRODUCT(--ISNUMBER(SEARCH(Keywords!$A$2:$A$136,$E68)),--(Keywords!$A$2:$A$136&lt;&gt;""))))</f>
        <v/>
      </c>
      <c r="H68" s="51" t="str">
        <f aca="false">IF($D68="","",IF($F68="Yes","YES",IF(AND($F68="Depends",$E68=""),"REVIEW — add scope text",IF($F68="Depends",IF($G68&gt;=Classify!$C$40,"YES","NO"),IF($G68&gt;=Classify!$C$41,"YES","NO")))))</f>
        <v/>
      </c>
      <c r="I68" s="12" t="str">
        <f aca="false">IF($D68="","",INDEX(Doc_Types!$D$2:$D$77,MATCH($D68,DocTypeList,0)))</f>
        <v/>
      </c>
      <c r="J68" s="37" t="str">
        <f aca="false">IF($D68="","",IF($F68="Yes",INDEX(Doc_Types!$E$2:$E$77,MATCH($D68,DocTypeList,0)),IF(LEFT($H68,6)="REVIEW","Type is 'Depends' — classification is decided by content; paste the scope text to resolve.",IF($H68="YES","Type default is '"&amp;$F68&amp;"' but the text contains "&amp;$G68&amp;" controlled technical term(s) — classification follows content (Wassenaar ML22 technology).",INDEX(Doc_Types!$E$2:$E$77,MATCH($D68,DocTypeList,0))&amp;" Text scan: "&amp;$G68&amp;" controlled term(s), below threshold."))))</f>
        <v/>
      </c>
      <c r="K68" s="51" t="str">
        <f aca="false">IF($H68="YES","EXPORT CONTROLLED",IF($H68="NO","NOT EXPORT CONTROLLED",IF($D68="","","— pending review —")))</f>
        <v/>
      </c>
    </row>
    <row r="69" customFormat="false" ht="30" hidden="false" customHeight="true" outlineLevel="0" collapsed="false">
      <c r="A69" s="48" t="n">
        <v>62</v>
      </c>
      <c r="B69" s="25"/>
      <c r="C69" s="25"/>
      <c r="D69" s="25"/>
      <c r="E69" s="25"/>
      <c r="F69" s="50" t="str">
        <f aca="false">IF($D69="","",INDEX(Doc_Types!$C$2:$C$77,MATCH($D69,DocTypeList,0)))</f>
        <v/>
      </c>
      <c r="G69" s="32" t="str">
        <f aca="false">IF($D69="","",IF($E69="",0,SUMPRODUCT(--ISNUMBER(SEARCH(Keywords!$A$2:$A$136,$E69)),--(Keywords!$A$2:$A$136&lt;&gt;""))))</f>
        <v/>
      </c>
      <c r="H69" s="51" t="str">
        <f aca="false">IF($D69="","",IF($F69="Yes","YES",IF(AND($F69="Depends",$E69=""),"REVIEW — add scope text",IF($F69="Depends",IF($G69&gt;=Classify!$C$40,"YES","NO"),IF($G69&gt;=Classify!$C$41,"YES","NO")))))</f>
        <v/>
      </c>
      <c r="I69" s="12" t="str">
        <f aca="false">IF($D69="","",INDEX(Doc_Types!$D$2:$D$77,MATCH($D69,DocTypeList,0)))</f>
        <v/>
      </c>
      <c r="J69" s="37" t="str">
        <f aca="false">IF($D69="","",IF($F69="Yes",INDEX(Doc_Types!$E$2:$E$77,MATCH($D69,DocTypeList,0)),IF(LEFT($H69,6)="REVIEW","Type is 'Depends' — classification is decided by content; paste the scope text to resolve.",IF($H69="YES","Type default is '"&amp;$F69&amp;"' but the text contains "&amp;$G69&amp;" controlled technical term(s) — classification follows content (Wassenaar ML22 technology).",INDEX(Doc_Types!$E$2:$E$77,MATCH($D69,DocTypeList,0))&amp;" Text scan: "&amp;$G69&amp;" controlled term(s), below threshold."))))</f>
        <v/>
      </c>
      <c r="K69" s="51" t="str">
        <f aca="false">IF($H69="YES","EXPORT CONTROLLED",IF($H69="NO","NOT EXPORT CONTROLLED",IF($D69="","","— pending review —")))</f>
        <v/>
      </c>
    </row>
    <row r="70" customFormat="false" ht="30" hidden="false" customHeight="true" outlineLevel="0" collapsed="false">
      <c r="A70" s="48" t="n">
        <v>63</v>
      </c>
      <c r="B70" s="25"/>
      <c r="C70" s="25"/>
      <c r="D70" s="25"/>
      <c r="E70" s="25"/>
      <c r="F70" s="50" t="str">
        <f aca="false">IF($D70="","",INDEX(Doc_Types!$C$2:$C$77,MATCH($D70,DocTypeList,0)))</f>
        <v/>
      </c>
      <c r="G70" s="32" t="str">
        <f aca="false">IF($D70="","",IF($E70="",0,SUMPRODUCT(--ISNUMBER(SEARCH(Keywords!$A$2:$A$136,$E70)),--(Keywords!$A$2:$A$136&lt;&gt;""))))</f>
        <v/>
      </c>
      <c r="H70" s="51" t="str">
        <f aca="false">IF($D70="","",IF($F70="Yes","YES",IF(AND($F70="Depends",$E70=""),"REVIEW — add scope text",IF($F70="Depends",IF($G70&gt;=Classify!$C$40,"YES","NO"),IF($G70&gt;=Classify!$C$41,"YES","NO")))))</f>
        <v/>
      </c>
      <c r="I70" s="12" t="str">
        <f aca="false">IF($D70="","",INDEX(Doc_Types!$D$2:$D$77,MATCH($D70,DocTypeList,0)))</f>
        <v/>
      </c>
      <c r="J70" s="37" t="str">
        <f aca="false">IF($D70="","",IF($F70="Yes",INDEX(Doc_Types!$E$2:$E$77,MATCH($D70,DocTypeList,0)),IF(LEFT($H70,6)="REVIEW","Type is 'Depends' — classification is decided by content; paste the scope text to resolve.",IF($H70="YES","Type default is '"&amp;$F70&amp;"' but the text contains "&amp;$G70&amp;" controlled technical term(s) — classification follows content (Wassenaar ML22 technology).",INDEX(Doc_Types!$E$2:$E$77,MATCH($D70,DocTypeList,0))&amp;" Text scan: "&amp;$G70&amp;" controlled term(s), below threshold."))))</f>
        <v/>
      </c>
      <c r="K70" s="51" t="str">
        <f aca="false">IF($H70="YES","EXPORT CONTROLLED",IF($H70="NO","NOT EXPORT CONTROLLED",IF($D70="","","— pending review —")))</f>
        <v/>
      </c>
    </row>
    <row r="71" customFormat="false" ht="30" hidden="false" customHeight="true" outlineLevel="0" collapsed="false">
      <c r="A71" s="48" t="n">
        <v>64</v>
      </c>
      <c r="B71" s="25"/>
      <c r="C71" s="25"/>
      <c r="D71" s="25"/>
      <c r="E71" s="25"/>
      <c r="F71" s="50" t="str">
        <f aca="false">IF($D71="","",INDEX(Doc_Types!$C$2:$C$77,MATCH($D71,DocTypeList,0)))</f>
        <v/>
      </c>
      <c r="G71" s="32" t="str">
        <f aca="false">IF($D71="","",IF($E71="",0,SUMPRODUCT(--ISNUMBER(SEARCH(Keywords!$A$2:$A$136,$E71)),--(Keywords!$A$2:$A$136&lt;&gt;""))))</f>
        <v/>
      </c>
      <c r="H71" s="51" t="str">
        <f aca="false">IF($D71="","",IF($F71="Yes","YES",IF(AND($F71="Depends",$E71=""),"REVIEW — add scope text",IF($F71="Depends",IF($G71&gt;=Classify!$C$40,"YES","NO"),IF($G71&gt;=Classify!$C$41,"YES","NO")))))</f>
        <v/>
      </c>
      <c r="I71" s="12" t="str">
        <f aca="false">IF($D71="","",INDEX(Doc_Types!$D$2:$D$77,MATCH($D71,DocTypeList,0)))</f>
        <v/>
      </c>
      <c r="J71" s="37" t="str">
        <f aca="false">IF($D71="","",IF($F71="Yes",INDEX(Doc_Types!$E$2:$E$77,MATCH($D71,DocTypeList,0)),IF(LEFT($H71,6)="REVIEW","Type is 'Depends' — classification is decided by content; paste the scope text to resolve.",IF($H71="YES","Type default is '"&amp;$F71&amp;"' but the text contains "&amp;$G71&amp;" controlled technical term(s) — classification follows content (Wassenaar ML22 technology).",INDEX(Doc_Types!$E$2:$E$77,MATCH($D71,DocTypeList,0))&amp;" Text scan: "&amp;$G71&amp;" controlled term(s), below threshold."))))</f>
        <v/>
      </c>
      <c r="K71" s="51" t="str">
        <f aca="false">IF($H71="YES","EXPORT CONTROLLED",IF($H71="NO","NOT EXPORT CONTROLLED",IF($D71="","","— pending review —")))</f>
        <v/>
      </c>
    </row>
    <row r="72" customFormat="false" ht="30" hidden="false" customHeight="true" outlineLevel="0" collapsed="false">
      <c r="A72" s="48" t="n">
        <v>65</v>
      </c>
      <c r="B72" s="25"/>
      <c r="C72" s="25"/>
      <c r="D72" s="25"/>
      <c r="E72" s="25"/>
      <c r="F72" s="50" t="str">
        <f aca="false">IF($D72="","",INDEX(Doc_Types!$C$2:$C$77,MATCH($D72,DocTypeList,0)))</f>
        <v/>
      </c>
      <c r="G72" s="32" t="str">
        <f aca="false">IF($D72="","",IF($E72="",0,SUMPRODUCT(--ISNUMBER(SEARCH(Keywords!$A$2:$A$136,$E72)),--(Keywords!$A$2:$A$136&lt;&gt;""))))</f>
        <v/>
      </c>
      <c r="H72" s="51" t="str">
        <f aca="false">IF($D72="","",IF($F72="Yes","YES",IF(AND($F72="Depends",$E72=""),"REVIEW — add scope text",IF($F72="Depends",IF($G72&gt;=Classify!$C$40,"YES","NO"),IF($G72&gt;=Classify!$C$41,"YES","NO")))))</f>
        <v/>
      </c>
      <c r="I72" s="12" t="str">
        <f aca="false">IF($D72="","",INDEX(Doc_Types!$D$2:$D$77,MATCH($D72,DocTypeList,0)))</f>
        <v/>
      </c>
      <c r="J72" s="37" t="str">
        <f aca="false">IF($D72="","",IF($F72="Yes",INDEX(Doc_Types!$E$2:$E$77,MATCH($D72,DocTypeList,0)),IF(LEFT($H72,6)="REVIEW","Type is 'Depends' — classification is decided by content; paste the scope text to resolve.",IF($H72="YES","Type default is '"&amp;$F72&amp;"' but the text contains "&amp;$G72&amp;" controlled technical term(s) — classification follows content (Wassenaar ML22 technology).",INDEX(Doc_Types!$E$2:$E$77,MATCH($D72,DocTypeList,0))&amp;" Text scan: "&amp;$G72&amp;" controlled term(s), below threshold."))))</f>
        <v/>
      </c>
      <c r="K72" s="51" t="str">
        <f aca="false">IF($H72="YES","EXPORT CONTROLLED",IF($H72="NO","NOT EXPORT CONTROLLED",IF($D72="","","— pending review —")))</f>
        <v/>
      </c>
    </row>
    <row r="73" customFormat="false" ht="30" hidden="false" customHeight="true" outlineLevel="0" collapsed="false">
      <c r="A73" s="48" t="n">
        <v>66</v>
      </c>
      <c r="B73" s="25"/>
      <c r="C73" s="25"/>
      <c r="D73" s="25"/>
      <c r="E73" s="25"/>
      <c r="F73" s="50" t="str">
        <f aca="false">IF($D73="","",INDEX(Doc_Types!$C$2:$C$77,MATCH($D73,DocTypeList,0)))</f>
        <v/>
      </c>
      <c r="G73" s="32" t="str">
        <f aca="false">IF($D73="","",IF($E73="",0,SUMPRODUCT(--ISNUMBER(SEARCH(Keywords!$A$2:$A$136,$E73)),--(Keywords!$A$2:$A$136&lt;&gt;""))))</f>
        <v/>
      </c>
      <c r="H73" s="51" t="str">
        <f aca="false">IF($D73="","",IF($F73="Yes","YES",IF(AND($F73="Depends",$E73=""),"REVIEW — add scope text",IF($F73="Depends",IF($G73&gt;=Classify!$C$40,"YES","NO"),IF($G73&gt;=Classify!$C$41,"YES","NO")))))</f>
        <v/>
      </c>
      <c r="I73" s="12" t="str">
        <f aca="false">IF($D73="","",INDEX(Doc_Types!$D$2:$D$77,MATCH($D73,DocTypeList,0)))</f>
        <v/>
      </c>
      <c r="J73" s="37" t="str">
        <f aca="false">IF($D73="","",IF($F73="Yes",INDEX(Doc_Types!$E$2:$E$77,MATCH($D73,DocTypeList,0)),IF(LEFT($H73,6)="REVIEW","Type is 'Depends' — classification is decided by content; paste the scope text to resolve.",IF($H73="YES","Type default is '"&amp;$F73&amp;"' but the text contains "&amp;$G73&amp;" controlled technical term(s) — classification follows content (Wassenaar ML22 technology).",INDEX(Doc_Types!$E$2:$E$77,MATCH($D73,DocTypeList,0))&amp;" Text scan: "&amp;$G73&amp;" controlled term(s), below threshold."))))</f>
        <v/>
      </c>
      <c r="K73" s="51" t="str">
        <f aca="false">IF($H73="YES","EXPORT CONTROLLED",IF($H73="NO","NOT EXPORT CONTROLLED",IF($D73="","","— pending review —")))</f>
        <v/>
      </c>
    </row>
    <row r="74" customFormat="false" ht="30" hidden="false" customHeight="true" outlineLevel="0" collapsed="false">
      <c r="A74" s="48" t="n">
        <v>67</v>
      </c>
      <c r="B74" s="25"/>
      <c r="C74" s="25"/>
      <c r="D74" s="25"/>
      <c r="E74" s="25"/>
      <c r="F74" s="50" t="str">
        <f aca="false">IF($D74="","",INDEX(Doc_Types!$C$2:$C$77,MATCH($D74,DocTypeList,0)))</f>
        <v/>
      </c>
      <c r="G74" s="32" t="str">
        <f aca="false">IF($D74="","",IF($E74="",0,SUMPRODUCT(--ISNUMBER(SEARCH(Keywords!$A$2:$A$136,$E74)),--(Keywords!$A$2:$A$136&lt;&gt;""))))</f>
        <v/>
      </c>
      <c r="H74" s="51" t="str">
        <f aca="false">IF($D74="","",IF($F74="Yes","YES",IF(AND($F74="Depends",$E74=""),"REVIEW — add scope text",IF($F74="Depends",IF($G74&gt;=Classify!$C$40,"YES","NO"),IF($G74&gt;=Classify!$C$41,"YES","NO")))))</f>
        <v/>
      </c>
      <c r="I74" s="12" t="str">
        <f aca="false">IF($D74="","",INDEX(Doc_Types!$D$2:$D$77,MATCH($D74,DocTypeList,0)))</f>
        <v/>
      </c>
      <c r="J74" s="37" t="str">
        <f aca="false">IF($D74="","",IF($F74="Yes",INDEX(Doc_Types!$E$2:$E$77,MATCH($D74,DocTypeList,0)),IF(LEFT($H74,6)="REVIEW","Type is 'Depends' — classification is decided by content; paste the scope text to resolve.",IF($H74="YES","Type default is '"&amp;$F74&amp;"' but the text contains "&amp;$G74&amp;" controlled technical term(s) — classification follows content (Wassenaar ML22 technology).",INDEX(Doc_Types!$E$2:$E$77,MATCH($D74,DocTypeList,0))&amp;" Text scan: "&amp;$G74&amp;" controlled term(s), below threshold."))))</f>
        <v/>
      </c>
      <c r="K74" s="51" t="str">
        <f aca="false">IF($H74="YES","EXPORT CONTROLLED",IF($H74="NO","NOT EXPORT CONTROLLED",IF($D74="","","— pending review —")))</f>
        <v/>
      </c>
    </row>
    <row r="75" customFormat="false" ht="30" hidden="false" customHeight="true" outlineLevel="0" collapsed="false">
      <c r="A75" s="48" t="n">
        <v>68</v>
      </c>
      <c r="B75" s="25"/>
      <c r="C75" s="25"/>
      <c r="D75" s="25"/>
      <c r="E75" s="25"/>
      <c r="F75" s="50" t="str">
        <f aca="false">IF($D75="","",INDEX(Doc_Types!$C$2:$C$77,MATCH($D75,DocTypeList,0)))</f>
        <v/>
      </c>
      <c r="G75" s="32" t="str">
        <f aca="false">IF($D75="","",IF($E75="",0,SUMPRODUCT(--ISNUMBER(SEARCH(Keywords!$A$2:$A$136,$E75)),--(Keywords!$A$2:$A$136&lt;&gt;""))))</f>
        <v/>
      </c>
      <c r="H75" s="51" t="str">
        <f aca="false">IF($D75="","",IF($F75="Yes","YES",IF(AND($F75="Depends",$E75=""),"REVIEW — add scope text",IF($F75="Depends",IF($G75&gt;=Classify!$C$40,"YES","NO"),IF($G75&gt;=Classify!$C$41,"YES","NO")))))</f>
        <v/>
      </c>
      <c r="I75" s="12" t="str">
        <f aca="false">IF($D75="","",INDEX(Doc_Types!$D$2:$D$77,MATCH($D75,DocTypeList,0)))</f>
        <v/>
      </c>
      <c r="J75" s="37" t="str">
        <f aca="false">IF($D75="","",IF($F75="Yes",INDEX(Doc_Types!$E$2:$E$77,MATCH($D75,DocTypeList,0)),IF(LEFT($H75,6)="REVIEW","Type is 'Depends' — classification is decided by content; paste the scope text to resolve.",IF($H75="YES","Type default is '"&amp;$F75&amp;"' but the text contains "&amp;$G75&amp;" controlled technical term(s) — classification follows content (Wassenaar ML22 technology).",INDEX(Doc_Types!$E$2:$E$77,MATCH($D75,DocTypeList,0))&amp;" Text scan: "&amp;$G75&amp;" controlled term(s), below threshold."))))</f>
        <v/>
      </c>
      <c r="K75" s="51" t="str">
        <f aca="false">IF($H75="YES","EXPORT CONTROLLED",IF($H75="NO","NOT EXPORT CONTROLLED",IF($D75="","","— pending review —")))</f>
        <v/>
      </c>
    </row>
    <row r="76" customFormat="false" ht="30" hidden="false" customHeight="true" outlineLevel="0" collapsed="false">
      <c r="A76" s="48" t="n">
        <v>69</v>
      </c>
      <c r="B76" s="25"/>
      <c r="C76" s="25"/>
      <c r="D76" s="25"/>
      <c r="E76" s="25"/>
      <c r="F76" s="50" t="str">
        <f aca="false">IF($D76="","",INDEX(Doc_Types!$C$2:$C$77,MATCH($D76,DocTypeList,0)))</f>
        <v/>
      </c>
      <c r="G76" s="32" t="str">
        <f aca="false">IF($D76="","",IF($E76="",0,SUMPRODUCT(--ISNUMBER(SEARCH(Keywords!$A$2:$A$136,$E76)),--(Keywords!$A$2:$A$136&lt;&gt;""))))</f>
        <v/>
      </c>
      <c r="H76" s="51" t="str">
        <f aca="false">IF($D76="","",IF($F76="Yes","YES",IF(AND($F76="Depends",$E76=""),"REVIEW — add scope text",IF($F76="Depends",IF($G76&gt;=Classify!$C$40,"YES","NO"),IF($G76&gt;=Classify!$C$41,"YES","NO")))))</f>
        <v/>
      </c>
      <c r="I76" s="12" t="str">
        <f aca="false">IF($D76="","",INDEX(Doc_Types!$D$2:$D$77,MATCH($D76,DocTypeList,0)))</f>
        <v/>
      </c>
      <c r="J76" s="37" t="str">
        <f aca="false">IF($D76="","",IF($F76="Yes",INDEX(Doc_Types!$E$2:$E$77,MATCH($D76,DocTypeList,0)),IF(LEFT($H76,6)="REVIEW","Type is 'Depends' — classification is decided by content; paste the scope text to resolve.",IF($H76="YES","Type default is '"&amp;$F76&amp;"' but the text contains "&amp;$G76&amp;" controlled technical term(s) — classification follows content (Wassenaar ML22 technology).",INDEX(Doc_Types!$E$2:$E$77,MATCH($D76,DocTypeList,0))&amp;" Text scan: "&amp;$G76&amp;" controlled term(s), below threshold."))))</f>
        <v/>
      </c>
      <c r="K76" s="51" t="str">
        <f aca="false">IF($H76="YES","EXPORT CONTROLLED",IF($H76="NO","NOT EXPORT CONTROLLED",IF($D76="","","— pending review —")))</f>
        <v/>
      </c>
    </row>
    <row r="77" customFormat="false" ht="30" hidden="false" customHeight="true" outlineLevel="0" collapsed="false">
      <c r="A77" s="48" t="n">
        <v>70</v>
      </c>
      <c r="B77" s="25"/>
      <c r="C77" s="25"/>
      <c r="D77" s="25"/>
      <c r="E77" s="25"/>
      <c r="F77" s="50" t="str">
        <f aca="false">IF($D77="","",INDEX(Doc_Types!$C$2:$C$77,MATCH($D77,DocTypeList,0)))</f>
        <v/>
      </c>
      <c r="G77" s="32" t="str">
        <f aca="false">IF($D77="","",IF($E77="",0,SUMPRODUCT(--ISNUMBER(SEARCH(Keywords!$A$2:$A$136,$E77)),--(Keywords!$A$2:$A$136&lt;&gt;""))))</f>
        <v/>
      </c>
      <c r="H77" s="51" t="str">
        <f aca="false">IF($D77="","",IF($F77="Yes","YES",IF(AND($F77="Depends",$E77=""),"REVIEW — add scope text",IF($F77="Depends",IF($G77&gt;=Classify!$C$40,"YES","NO"),IF($G77&gt;=Classify!$C$41,"YES","NO")))))</f>
        <v/>
      </c>
      <c r="I77" s="12" t="str">
        <f aca="false">IF($D77="","",INDEX(Doc_Types!$D$2:$D$77,MATCH($D77,DocTypeList,0)))</f>
        <v/>
      </c>
      <c r="J77" s="37" t="str">
        <f aca="false">IF($D77="","",IF($F77="Yes",INDEX(Doc_Types!$E$2:$E$77,MATCH($D77,DocTypeList,0)),IF(LEFT($H77,6)="REVIEW","Type is 'Depends' — classification is decided by content; paste the scope text to resolve.",IF($H77="YES","Type default is '"&amp;$F77&amp;"' but the text contains "&amp;$G77&amp;" controlled technical term(s) — classification follows content (Wassenaar ML22 technology).",INDEX(Doc_Types!$E$2:$E$77,MATCH($D77,DocTypeList,0))&amp;" Text scan: "&amp;$G77&amp;" controlled term(s), below threshold."))))</f>
        <v/>
      </c>
      <c r="K77" s="51" t="str">
        <f aca="false">IF($H77="YES","EXPORT CONTROLLED",IF($H77="NO","NOT EXPORT CONTROLLED",IF($D77="","","— pending review —")))</f>
        <v/>
      </c>
    </row>
    <row r="78" customFormat="false" ht="30" hidden="false" customHeight="true" outlineLevel="0" collapsed="false">
      <c r="A78" s="48" t="n">
        <v>71</v>
      </c>
      <c r="B78" s="25"/>
      <c r="C78" s="25"/>
      <c r="D78" s="25"/>
      <c r="E78" s="25"/>
      <c r="F78" s="50" t="str">
        <f aca="false">IF($D78="","",INDEX(Doc_Types!$C$2:$C$77,MATCH($D78,DocTypeList,0)))</f>
        <v/>
      </c>
      <c r="G78" s="32" t="str">
        <f aca="false">IF($D78="","",IF($E78="",0,SUMPRODUCT(--ISNUMBER(SEARCH(Keywords!$A$2:$A$136,$E78)),--(Keywords!$A$2:$A$136&lt;&gt;""))))</f>
        <v/>
      </c>
      <c r="H78" s="51" t="str">
        <f aca="false">IF($D78="","",IF($F78="Yes","YES",IF(AND($F78="Depends",$E78=""),"REVIEW — add scope text",IF($F78="Depends",IF($G78&gt;=Classify!$C$40,"YES","NO"),IF($G78&gt;=Classify!$C$41,"YES","NO")))))</f>
        <v/>
      </c>
      <c r="I78" s="12" t="str">
        <f aca="false">IF($D78="","",INDEX(Doc_Types!$D$2:$D$77,MATCH($D78,DocTypeList,0)))</f>
        <v/>
      </c>
      <c r="J78" s="37" t="str">
        <f aca="false">IF($D78="","",IF($F78="Yes",INDEX(Doc_Types!$E$2:$E$77,MATCH($D78,DocTypeList,0)),IF(LEFT($H78,6)="REVIEW","Type is 'Depends' — classification is decided by content; paste the scope text to resolve.",IF($H78="YES","Type default is '"&amp;$F78&amp;"' but the text contains "&amp;$G78&amp;" controlled technical term(s) — classification follows content (Wassenaar ML22 technology).",INDEX(Doc_Types!$E$2:$E$77,MATCH($D78,DocTypeList,0))&amp;" Text scan: "&amp;$G78&amp;" controlled term(s), below threshold."))))</f>
        <v/>
      </c>
      <c r="K78" s="51" t="str">
        <f aca="false">IF($H78="YES","EXPORT CONTROLLED",IF($H78="NO","NOT EXPORT CONTROLLED",IF($D78="","","— pending review —")))</f>
        <v/>
      </c>
    </row>
    <row r="79" customFormat="false" ht="30" hidden="false" customHeight="true" outlineLevel="0" collapsed="false">
      <c r="A79" s="48" t="n">
        <v>72</v>
      </c>
      <c r="B79" s="25"/>
      <c r="C79" s="25"/>
      <c r="D79" s="25"/>
      <c r="E79" s="25"/>
      <c r="F79" s="50" t="str">
        <f aca="false">IF($D79="","",INDEX(Doc_Types!$C$2:$C$77,MATCH($D79,DocTypeList,0)))</f>
        <v/>
      </c>
      <c r="G79" s="32" t="str">
        <f aca="false">IF($D79="","",IF($E79="",0,SUMPRODUCT(--ISNUMBER(SEARCH(Keywords!$A$2:$A$136,$E79)),--(Keywords!$A$2:$A$136&lt;&gt;""))))</f>
        <v/>
      </c>
      <c r="H79" s="51" t="str">
        <f aca="false">IF($D79="","",IF($F79="Yes","YES",IF(AND($F79="Depends",$E79=""),"REVIEW — add scope text",IF($F79="Depends",IF($G79&gt;=Classify!$C$40,"YES","NO"),IF($G79&gt;=Classify!$C$41,"YES","NO")))))</f>
        <v/>
      </c>
      <c r="I79" s="12" t="str">
        <f aca="false">IF($D79="","",INDEX(Doc_Types!$D$2:$D$77,MATCH($D79,DocTypeList,0)))</f>
        <v/>
      </c>
      <c r="J79" s="37" t="str">
        <f aca="false">IF($D79="","",IF($F79="Yes",INDEX(Doc_Types!$E$2:$E$77,MATCH($D79,DocTypeList,0)),IF(LEFT($H79,6)="REVIEW","Type is 'Depends' — classification is decided by content; paste the scope text to resolve.",IF($H79="YES","Type default is '"&amp;$F79&amp;"' but the text contains "&amp;$G79&amp;" controlled technical term(s) — classification follows content (Wassenaar ML22 technology).",INDEX(Doc_Types!$E$2:$E$77,MATCH($D79,DocTypeList,0))&amp;" Text scan: "&amp;$G79&amp;" controlled term(s), below threshold."))))</f>
        <v/>
      </c>
      <c r="K79" s="51" t="str">
        <f aca="false">IF($H79="YES","EXPORT CONTROLLED",IF($H79="NO","NOT EXPORT CONTROLLED",IF($D79="","","— pending review —")))</f>
        <v/>
      </c>
    </row>
    <row r="80" customFormat="false" ht="30" hidden="false" customHeight="true" outlineLevel="0" collapsed="false">
      <c r="A80" s="48" t="n">
        <v>73</v>
      </c>
      <c r="B80" s="25"/>
      <c r="C80" s="25"/>
      <c r="D80" s="25"/>
      <c r="E80" s="25"/>
      <c r="F80" s="50" t="str">
        <f aca="false">IF($D80="","",INDEX(Doc_Types!$C$2:$C$77,MATCH($D80,DocTypeList,0)))</f>
        <v/>
      </c>
      <c r="G80" s="32" t="str">
        <f aca="false">IF($D80="","",IF($E80="",0,SUMPRODUCT(--ISNUMBER(SEARCH(Keywords!$A$2:$A$136,$E80)),--(Keywords!$A$2:$A$136&lt;&gt;""))))</f>
        <v/>
      </c>
      <c r="H80" s="51" t="str">
        <f aca="false">IF($D80="","",IF($F80="Yes","YES",IF(AND($F80="Depends",$E80=""),"REVIEW — add scope text",IF($F80="Depends",IF($G80&gt;=Classify!$C$40,"YES","NO"),IF($G80&gt;=Classify!$C$41,"YES","NO")))))</f>
        <v/>
      </c>
      <c r="I80" s="12" t="str">
        <f aca="false">IF($D80="","",INDEX(Doc_Types!$D$2:$D$77,MATCH($D80,DocTypeList,0)))</f>
        <v/>
      </c>
      <c r="J80" s="37" t="str">
        <f aca="false">IF($D80="","",IF($F80="Yes",INDEX(Doc_Types!$E$2:$E$77,MATCH($D80,DocTypeList,0)),IF(LEFT($H80,6)="REVIEW","Type is 'Depends' — classification is decided by content; paste the scope text to resolve.",IF($H80="YES","Type default is '"&amp;$F80&amp;"' but the text contains "&amp;$G80&amp;" controlled technical term(s) — classification follows content (Wassenaar ML22 technology).",INDEX(Doc_Types!$E$2:$E$77,MATCH($D80,DocTypeList,0))&amp;" Text scan: "&amp;$G80&amp;" controlled term(s), below threshold."))))</f>
        <v/>
      </c>
      <c r="K80" s="51" t="str">
        <f aca="false">IF($H80="YES","EXPORT CONTROLLED",IF($H80="NO","NOT EXPORT CONTROLLED",IF($D80="","","— pending review —")))</f>
        <v/>
      </c>
    </row>
    <row r="81" customFormat="false" ht="30" hidden="false" customHeight="true" outlineLevel="0" collapsed="false">
      <c r="A81" s="48" t="n">
        <v>74</v>
      </c>
      <c r="B81" s="25"/>
      <c r="C81" s="25"/>
      <c r="D81" s="25"/>
      <c r="E81" s="25"/>
      <c r="F81" s="50" t="str">
        <f aca="false">IF($D81="","",INDEX(Doc_Types!$C$2:$C$77,MATCH($D81,DocTypeList,0)))</f>
        <v/>
      </c>
      <c r="G81" s="32" t="str">
        <f aca="false">IF($D81="","",IF($E81="",0,SUMPRODUCT(--ISNUMBER(SEARCH(Keywords!$A$2:$A$136,$E81)),--(Keywords!$A$2:$A$136&lt;&gt;""))))</f>
        <v/>
      </c>
      <c r="H81" s="51" t="str">
        <f aca="false">IF($D81="","",IF($F81="Yes","YES",IF(AND($F81="Depends",$E81=""),"REVIEW — add scope text",IF($F81="Depends",IF($G81&gt;=Classify!$C$40,"YES","NO"),IF($G81&gt;=Classify!$C$41,"YES","NO")))))</f>
        <v/>
      </c>
      <c r="I81" s="12" t="str">
        <f aca="false">IF($D81="","",INDEX(Doc_Types!$D$2:$D$77,MATCH($D81,DocTypeList,0)))</f>
        <v/>
      </c>
      <c r="J81" s="37" t="str">
        <f aca="false">IF($D81="","",IF($F81="Yes",INDEX(Doc_Types!$E$2:$E$77,MATCH($D81,DocTypeList,0)),IF(LEFT($H81,6)="REVIEW","Type is 'Depends' — classification is decided by content; paste the scope text to resolve.",IF($H81="YES","Type default is '"&amp;$F81&amp;"' but the text contains "&amp;$G81&amp;" controlled technical term(s) — classification follows content (Wassenaar ML22 technology).",INDEX(Doc_Types!$E$2:$E$77,MATCH($D81,DocTypeList,0))&amp;" Text scan: "&amp;$G81&amp;" controlled term(s), below threshold."))))</f>
        <v/>
      </c>
      <c r="K81" s="51" t="str">
        <f aca="false">IF($H81="YES","EXPORT CONTROLLED",IF($H81="NO","NOT EXPORT CONTROLLED",IF($D81="","","— pending review —")))</f>
        <v/>
      </c>
    </row>
    <row r="82" customFormat="false" ht="30" hidden="false" customHeight="true" outlineLevel="0" collapsed="false">
      <c r="A82" s="48" t="n">
        <v>75</v>
      </c>
      <c r="B82" s="25"/>
      <c r="C82" s="25"/>
      <c r="D82" s="25"/>
      <c r="E82" s="25"/>
      <c r="F82" s="50" t="str">
        <f aca="false">IF($D82="","",INDEX(Doc_Types!$C$2:$C$77,MATCH($D82,DocTypeList,0)))</f>
        <v/>
      </c>
      <c r="G82" s="32" t="str">
        <f aca="false">IF($D82="","",IF($E82="",0,SUMPRODUCT(--ISNUMBER(SEARCH(Keywords!$A$2:$A$136,$E82)),--(Keywords!$A$2:$A$136&lt;&gt;""))))</f>
        <v/>
      </c>
      <c r="H82" s="51" t="str">
        <f aca="false">IF($D82="","",IF($F82="Yes","YES",IF(AND($F82="Depends",$E82=""),"REVIEW — add scope text",IF($F82="Depends",IF($G82&gt;=Classify!$C$40,"YES","NO"),IF($G82&gt;=Classify!$C$41,"YES","NO")))))</f>
        <v/>
      </c>
      <c r="I82" s="12" t="str">
        <f aca="false">IF($D82="","",INDEX(Doc_Types!$D$2:$D$77,MATCH($D82,DocTypeList,0)))</f>
        <v/>
      </c>
      <c r="J82" s="37" t="str">
        <f aca="false">IF($D82="","",IF($F82="Yes",INDEX(Doc_Types!$E$2:$E$77,MATCH($D82,DocTypeList,0)),IF(LEFT($H82,6)="REVIEW","Type is 'Depends' — classification is decided by content; paste the scope text to resolve.",IF($H82="YES","Type default is '"&amp;$F82&amp;"' but the text contains "&amp;$G82&amp;" controlled technical term(s) — classification follows content (Wassenaar ML22 technology).",INDEX(Doc_Types!$E$2:$E$77,MATCH($D82,DocTypeList,0))&amp;" Text scan: "&amp;$G82&amp;" controlled term(s), below threshold."))))</f>
        <v/>
      </c>
      <c r="K82" s="51" t="str">
        <f aca="false">IF($H82="YES","EXPORT CONTROLLED",IF($H82="NO","NOT EXPORT CONTROLLED",IF($D82="","","— pending review —")))</f>
        <v/>
      </c>
    </row>
    <row r="83" customFormat="false" ht="30" hidden="false" customHeight="true" outlineLevel="0" collapsed="false">
      <c r="A83" s="48" t="n">
        <v>76</v>
      </c>
      <c r="B83" s="25"/>
      <c r="C83" s="25"/>
      <c r="D83" s="25"/>
      <c r="E83" s="25"/>
      <c r="F83" s="50" t="str">
        <f aca="false">IF($D83="","",INDEX(Doc_Types!$C$2:$C$77,MATCH($D83,DocTypeList,0)))</f>
        <v/>
      </c>
      <c r="G83" s="32" t="str">
        <f aca="false">IF($D83="","",IF($E83="",0,SUMPRODUCT(--ISNUMBER(SEARCH(Keywords!$A$2:$A$136,$E83)),--(Keywords!$A$2:$A$136&lt;&gt;""))))</f>
        <v/>
      </c>
      <c r="H83" s="51" t="str">
        <f aca="false">IF($D83="","",IF($F83="Yes","YES",IF(AND($F83="Depends",$E83=""),"REVIEW — add scope text",IF($F83="Depends",IF($G83&gt;=Classify!$C$40,"YES","NO"),IF($G83&gt;=Classify!$C$41,"YES","NO")))))</f>
        <v/>
      </c>
      <c r="I83" s="12" t="str">
        <f aca="false">IF($D83="","",INDEX(Doc_Types!$D$2:$D$77,MATCH($D83,DocTypeList,0)))</f>
        <v/>
      </c>
      <c r="J83" s="37" t="str">
        <f aca="false">IF($D83="","",IF($F83="Yes",INDEX(Doc_Types!$E$2:$E$77,MATCH($D83,DocTypeList,0)),IF(LEFT($H83,6)="REVIEW","Type is 'Depends' — classification is decided by content; paste the scope text to resolve.",IF($H83="YES","Type default is '"&amp;$F83&amp;"' but the text contains "&amp;$G83&amp;" controlled technical term(s) — classification follows content (Wassenaar ML22 technology).",INDEX(Doc_Types!$E$2:$E$77,MATCH($D83,DocTypeList,0))&amp;" Text scan: "&amp;$G83&amp;" controlled term(s), below threshold."))))</f>
        <v/>
      </c>
      <c r="K83" s="51" t="str">
        <f aca="false">IF($H83="YES","EXPORT CONTROLLED",IF($H83="NO","NOT EXPORT CONTROLLED",IF($D83="","","— pending review —")))</f>
        <v/>
      </c>
    </row>
    <row r="84" customFormat="false" ht="30" hidden="false" customHeight="true" outlineLevel="0" collapsed="false">
      <c r="A84" s="48" t="n">
        <v>77</v>
      </c>
      <c r="B84" s="25"/>
      <c r="C84" s="25"/>
      <c r="D84" s="25"/>
      <c r="E84" s="25"/>
      <c r="F84" s="50" t="str">
        <f aca="false">IF($D84="","",INDEX(Doc_Types!$C$2:$C$77,MATCH($D84,DocTypeList,0)))</f>
        <v/>
      </c>
      <c r="G84" s="32" t="str">
        <f aca="false">IF($D84="","",IF($E84="",0,SUMPRODUCT(--ISNUMBER(SEARCH(Keywords!$A$2:$A$136,$E84)),--(Keywords!$A$2:$A$136&lt;&gt;""))))</f>
        <v/>
      </c>
      <c r="H84" s="51" t="str">
        <f aca="false">IF($D84="","",IF($F84="Yes","YES",IF(AND($F84="Depends",$E84=""),"REVIEW — add scope text",IF($F84="Depends",IF($G84&gt;=Classify!$C$40,"YES","NO"),IF($G84&gt;=Classify!$C$41,"YES","NO")))))</f>
        <v/>
      </c>
      <c r="I84" s="12" t="str">
        <f aca="false">IF($D84="","",INDEX(Doc_Types!$D$2:$D$77,MATCH($D84,DocTypeList,0)))</f>
        <v/>
      </c>
      <c r="J84" s="37" t="str">
        <f aca="false">IF($D84="","",IF($F84="Yes",INDEX(Doc_Types!$E$2:$E$77,MATCH($D84,DocTypeList,0)),IF(LEFT($H84,6)="REVIEW","Type is 'Depends' — classification is decided by content; paste the scope text to resolve.",IF($H84="YES","Type default is '"&amp;$F84&amp;"' but the text contains "&amp;$G84&amp;" controlled technical term(s) — classification follows content (Wassenaar ML22 technology).",INDEX(Doc_Types!$E$2:$E$77,MATCH($D84,DocTypeList,0))&amp;" Text scan: "&amp;$G84&amp;" controlled term(s), below threshold."))))</f>
        <v/>
      </c>
      <c r="K84" s="51" t="str">
        <f aca="false">IF($H84="YES","EXPORT CONTROLLED",IF($H84="NO","NOT EXPORT CONTROLLED",IF($D84="","","— pending review —")))</f>
        <v/>
      </c>
    </row>
    <row r="85" customFormat="false" ht="30" hidden="false" customHeight="true" outlineLevel="0" collapsed="false">
      <c r="A85" s="48" t="n">
        <v>78</v>
      </c>
      <c r="B85" s="25"/>
      <c r="C85" s="25"/>
      <c r="D85" s="25"/>
      <c r="E85" s="25"/>
      <c r="F85" s="50" t="str">
        <f aca="false">IF($D85="","",INDEX(Doc_Types!$C$2:$C$77,MATCH($D85,DocTypeList,0)))</f>
        <v/>
      </c>
      <c r="G85" s="32" t="str">
        <f aca="false">IF($D85="","",IF($E85="",0,SUMPRODUCT(--ISNUMBER(SEARCH(Keywords!$A$2:$A$136,$E85)),--(Keywords!$A$2:$A$136&lt;&gt;""))))</f>
        <v/>
      </c>
      <c r="H85" s="51" t="str">
        <f aca="false">IF($D85="","",IF($F85="Yes","YES",IF(AND($F85="Depends",$E85=""),"REVIEW — add scope text",IF($F85="Depends",IF($G85&gt;=Classify!$C$40,"YES","NO"),IF($G85&gt;=Classify!$C$41,"YES","NO")))))</f>
        <v/>
      </c>
      <c r="I85" s="12" t="str">
        <f aca="false">IF($D85="","",INDEX(Doc_Types!$D$2:$D$77,MATCH($D85,DocTypeList,0)))</f>
        <v/>
      </c>
      <c r="J85" s="37" t="str">
        <f aca="false">IF($D85="","",IF($F85="Yes",INDEX(Doc_Types!$E$2:$E$77,MATCH($D85,DocTypeList,0)),IF(LEFT($H85,6)="REVIEW","Type is 'Depends' — classification is decided by content; paste the scope text to resolve.",IF($H85="YES","Type default is '"&amp;$F85&amp;"' but the text contains "&amp;$G85&amp;" controlled technical term(s) — classification follows content (Wassenaar ML22 technology).",INDEX(Doc_Types!$E$2:$E$77,MATCH($D85,DocTypeList,0))&amp;" Text scan: "&amp;$G85&amp;" controlled term(s), below threshold."))))</f>
        <v/>
      </c>
      <c r="K85" s="51" t="str">
        <f aca="false">IF($H85="YES","EXPORT CONTROLLED",IF($H85="NO","NOT EXPORT CONTROLLED",IF($D85="","","— pending review —")))</f>
        <v/>
      </c>
    </row>
    <row r="86" customFormat="false" ht="30" hidden="false" customHeight="true" outlineLevel="0" collapsed="false">
      <c r="A86" s="48" t="n">
        <v>79</v>
      </c>
      <c r="B86" s="25"/>
      <c r="C86" s="25"/>
      <c r="D86" s="25"/>
      <c r="E86" s="25"/>
      <c r="F86" s="50" t="str">
        <f aca="false">IF($D86="","",INDEX(Doc_Types!$C$2:$C$77,MATCH($D86,DocTypeList,0)))</f>
        <v/>
      </c>
      <c r="G86" s="32" t="str">
        <f aca="false">IF($D86="","",IF($E86="",0,SUMPRODUCT(--ISNUMBER(SEARCH(Keywords!$A$2:$A$136,$E86)),--(Keywords!$A$2:$A$136&lt;&gt;""))))</f>
        <v/>
      </c>
      <c r="H86" s="51" t="str">
        <f aca="false">IF($D86="","",IF($F86="Yes","YES",IF(AND($F86="Depends",$E86=""),"REVIEW — add scope text",IF($F86="Depends",IF($G86&gt;=Classify!$C$40,"YES","NO"),IF($G86&gt;=Classify!$C$41,"YES","NO")))))</f>
        <v/>
      </c>
      <c r="I86" s="12" t="str">
        <f aca="false">IF($D86="","",INDEX(Doc_Types!$D$2:$D$77,MATCH($D86,DocTypeList,0)))</f>
        <v/>
      </c>
      <c r="J86" s="37" t="str">
        <f aca="false">IF($D86="","",IF($F86="Yes",INDEX(Doc_Types!$E$2:$E$77,MATCH($D86,DocTypeList,0)),IF(LEFT($H86,6)="REVIEW","Type is 'Depends' — classification is decided by content; paste the scope text to resolve.",IF($H86="YES","Type default is '"&amp;$F86&amp;"' but the text contains "&amp;$G86&amp;" controlled technical term(s) — classification follows content (Wassenaar ML22 technology).",INDEX(Doc_Types!$E$2:$E$77,MATCH($D86,DocTypeList,0))&amp;" Text scan: "&amp;$G86&amp;" controlled term(s), below threshold."))))</f>
        <v/>
      </c>
      <c r="K86" s="51" t="str">
        <f aca="false">IF($H86="YES","EXPORT CONTROLLED",IF($H86="NO","NOT EXPORT CONTROLLED",IF($D86="","","— pending review —")))</f>
        <v/>
      </c>
    </row>
    <row r="87" customFormat="false" ht="30" hidden="false" customHeight="true" outlineLevel="0" collapsed="false">
      <c r="A87" s="48" t="n">
        <v>80</v>
      </c>
      <c r="B87" s="25"/>
      <c r="C87" s="25"/>
      <c r="D87" s="25"/>
      <c r="E87" s="25"/>
      <c r="F87" s="50" t="str">
        <f aca="false">IF($D87="","",INDEX(Doc_Types!$C$2:$C$77,MATCH($D87,DocTypeList,0)))</f>
        <v/>
      </c>
      <c r="G87" s="32" t="str">
        <f aca="false">IF($D87="","",IF($E87="",0,SUMPRODUCT(--ISNUMBER(SEARCH(Keywords!$A$2:$A$136,$E87)),--(Keywords!$A$2:$A$136&lt;&gt;""))))</f>
        <v/>
      </c>
      <c r="H87" s="51" t="str">
        <f aca="false">IF($D87="","",IF($F87="Yes","YES",IF(AND($F87="Depends",$E87=""),"REVIEW — add scope text",IF($F87="Depends",IF($G87&gt;=Classify!$C$40,"YES","NO"),IF($G87&gt;=Classify!$C$41,"YES","NO")))))</f>
        <v/>
      </c>
      <c r="I87" s="12" t="str">
        <f aca="false">IF($D87="","",INDEX(Doc_Types!$D$2:$D$77,MATCH($D87,DocTypeList,0)))</f>
        <v/>
      </c>
      <c r="J87" s="37" t="str">
        <f aca="false">IF($D87="","",IF($F87="Yes",INDEX(Doc_Types!$E$2:$E$77,MATCH($D87,DocTypeList,0)),IF(LEFT($H87,6)="REVIEW","Type is 'Depends' — classification is decided by content; paste the scope text to resolve.",IF($H87="YES","Type default is '"&amp;$F87&amp;"' but the text contains "&amp;$G87&amp;" controlled technical term(s) — classification follows content (Wassenaar ML22 technology).",INDEX(Doc_Types!$E$2:$E$77,MATCH($D87,DocTypeList,0))&amp;" Text scan: "&amp;$G87&amp;" controlled term(s), below threshold."))))</f>
        <v/>
      </c>
      <c r="K87" s="51" t="str">
        <f aca="false">IF($H87="YES","EXPORT CONTROLLED",IF($H87="NO","NOT EXPORT CONTROLLED",IF($D87="","","— pending review —")))</f>
        <v/>
      </c>
    </row>
    <row r="88" customFormat="false" ht="30" hidden="false" customHeight="true" outlineLevel="0" collapsed="false">
      <c r="A88" s="48" t="n">
        <v>81</v>
      </c>
      <c r="B88" s="25"/>
      <c r="C88" s="25"/>
      <c r="D88" s="25"/>
      <c r="E88" s="25"/>
      <c r="F88" s="50" t="str">
        <f aca="false">IF($D88="","",INDEX(Doc_Types!$C$2:$C$77,MATCH($D88,DocTypeList,0)))</f>
        <v/>
      </c>
      <c r="G88" s="32" t="str">
        <f aca="false">IF($D88="","",IF($E88="",0,SUMPRODUCT(--ISNUMBER(SEARCH(Keywords!$A$2:$A$136,$E88)),--(Keywords!$A$2:$A$136&lt;&gt;""))))</f>
        <v/>
      </c>
      <c r="H88" s="51" t="str">
        <f aca="false">IF($D88="","",IF($F88="Yes","YES",IF(AND($F88="Depends",$E88=""),"REVIEW — add scope text",IF($F88="Depends",IF($G88&gt;=Classify!$C$40,"YES","NO"),IF($G88&gt;=Classify!$C$41,"YES","NO")))))</f>
        <v/>
      </c>
      <c r="I88" s="12" t="str">
        <f aca="false">IF($D88="","",INDEX(Doc_Types!$D$2:$D$77,MATCH($D88,DocTypeList,0)))</f>
        <v/>
      </c>
      <c r="J88" s="37" t="str">
        <f aca="false">IF($D88="","",IF($F88="Yes",INDEX(Doc_Types!$E$2:$E$77,MATCH($D88,DocTypeList,0)),IF(LEFT($H88,6)="REVIEW","Type is 'Depends' — classification is decided by content; paste the scope text to resolve.",IF($H88="YES","Type default is '"&amp;$F88&amp;"' but the text contains "&amp;$G88&amp;" controlled technical term(s) — classification follows content (Wassenaar ML22 technology).",INDEX(Doc_Types!$E$2:$E$77,MATCH($D88,DocTypeList,0))&amp;" Text scan: "&amp;$G88&amp;" controlled term(s), below threshold."))))</f>
        <v/>
      </c>
      <c r="K88" s="51" t="str">
        <f aca="false">IF($H88="YES","EXPORT CONTROLLED",IF($H88="NO","NOT EXPORT CONTROLLED",IF($D88="","","— pending review —")))</f>
        <v/>
      </c>
    </row>
    <row r="89" customFormat="false" ht="30" hidden="false" customHeight="true" outlineLevel="0" collapsed="false">
      <c r="A89" s="48" t="n">
        <v>82</v>
      </c>
      <c r="B89" s="25"/>
      <c r="C89" s="25"/>
      <c r="D89" s="25"/>
      <c r="E89" s="25"/>
      <c r="F89" s="50" t="str">
        <f aca="false">IF($D89="","",INDEX(Doc_Types!$C$2:$C$77,MATCH($D89,DocTypeList,0)))</f>
        <v/>
      </c>
      <c r="G89" s="32" t="str">
        <f aca="false">IF($D89="","",IF($E89="",0,SUMPRODUCT(--ISNUMBER(SEARCH(Keywords!$A$2:$A$136,$E89)),--(Keywords!$A$2:$A$136&lt;&gt;""))))</f>
        <v/>
      </c>
      <c r="H89" s="51" t="str">
        <f aca="false">IF($D89="","",IF($F89="Yes","YES",IF(AND($F89="Depends",$E89=""),"REVIEW — add scope text",IF($F89="Depends",IF($G89&gt;=Classify!$C$40,"YES","NO"),IF($G89&gt;=Classify!$C$41,"YES","NO")))))</f>
        <v/>
      </c>
      <c r="I89" s="12" t="str">
        <f aca="false">IF($D89="","",INDEX(Doc_Types!$D$2:$D$77,MATCH($D89,DocTypeList,0)))</f>
        <v/>
      </c>
      <c r="J89" s="37" t="str">
        <f aca="false">IF($D89="","",IF($F89="Yes",INDEX(Doc_Types!$E$2:$E$77,MATCH($D89,DocTypeList,0)),IF(LEFT($H89,6)="REVIEW","Type is 'Depends' — classification is decided by content; paste the scope text to resolve.",IF($H89="YES","Type default is '"&amp;$F89&amp;"' but the text contains "&amp;$G89&amp;" controlled technical term(s) — classification follows content (Wassenaar ML22 technology).",INDEX(Doc_Types!$E$2:$E$77,MATCH($D89,DocTypeList,0))&amp;" Text scan: "&amp;$G89&amp;" controlled term(s), below threshold."))))</f>
        <v/>
      </c>
      <c r="K89" s="51" t="str">
        <f aca="false">IF($H89="YES","EXPORT CONTROLLED",IF($H89="NO","NOT EXPORT CONTROLLED",IF($D89="","","— pending review —")))</f>
        <v/>
      </c>
    </row>
    <row r="90" customFormat="false" ht="30" hidden="false" customHeight="true" outlineLevel="0" collapsed="false">
      <c r="A90" s="48" t="n">
        <v>83</v>
      </c>
      <c r="B90" s="25"/>
      <c r="C90" s="25"/>
      <c r="D90" s="25"/>
      <c r="E90" s="25"/>
      <c r="F90" s="50" t="str">
        <f aca="false">IF($D90="","",INDEX(Doc_Types!$C$2:$C$77,MATCH($D90,DocTypeList,0)))</f>
        <v/>
      </c>
      <c r="G90" s="32" t="str">
        <f aca="false">IF($D90="","",IF($E90="",0,SUMPRODUCT(--ISNUMBER(SEARCH(Keywords!$A$2:$A$136,$E90)),--(Keywords!$A$2:$A$136&lt;&gt;""))))</f>
        <v/>
      </c>
      <c r="H90" s="51" t="str">
        <f aca="false">IF($D90="","",IF($F90="Yes","YES",IF(AND($F90="Depends",$E90=""),"REVIEW — add scope text",IF($F90="Depends",IF($G90&gt;=Classify!$C$40,"YES","NO"),IF($G90&gt;=Classify!$C$41,"YES","NO")))))</f>
        <v/>
      </c>
      <c r="I90" s="12" t="str">
        <f aca="false">IF($D90="","",INDEX(Doc_Types!$D$2:$D$77,MATCH($D90,DocTypeList,0)))</f>
        <v/>
      </c>
      <c r="J90" s="37" t="str">
        <f aca="false">IF($D90="","",IF($F90="Yes",INDEX(Doc_Types!$E$2:$E$77,MATCH($D90,DocTypeList,0)),IF(LEFT($H90,6)="REVIEW","Type is 'Depends' — classification is decided by content; paste the scope text to resolve.",IF($H90="YES","Type default is '"&amp;$F90&amp;"' but the text contains "&amp;$G90&amp;" controlled technical term(s) — classification follows content (Wassenaar ML22 technology).",INDEX(Doc_Types!$E$2:$E$77,MATCH($D90,DocTypeList,0))&amp;" Text scan: "&amp;$G90&amp;" controlled term(s), below threshold."))))</f>
        <v/>
      </c>
      <c r="K90" s="51" t="str">
        <f aca="false">IF($H90="YES","EXPORT CONTROLLED",IF($H90="NO","NOT EXPORT CONTROLLED",IF($D90="","","— pending review —")))</f>
        <v/>
      </c>
    </row>
    <row r="91" customFormat="false" ht="30" hidden="false" customHeight="true" outlineLevel="0" collapsed="false">
      <c r="A91" s="48" t="n">
        <v>84</v>
      </c>
      <c r="B91" s="25"/>
      <c r="C91" s="25"/>
      <c r="D91" s="25"/>
      <c r="E91" s="25"/>
      <c r="F91" s="50" t="str">
        <f aca="false">IF($D91="","",INDEX(Doc_Types!$C$2:$C$77,MATCH($D91,DocTypeList,0)))</f>
        <v/>
      </c>
      <c r="G91" s="32" t="str">
        <f aca="false">IF($D91="","",IF($E91="",0,SUMPRODUCT(--ISNUMBER(SEARCH(Keywords!$A$2:$A$136,$E91)),--(Keywords!$A$2:$A$136&lt;&gt;""))))</f>
        <v/>
      </c>
      <c r="H91" s="51" t="str">
        <f aca="false">IF($D91="","",IF($F91="Yes","YES",IF(AND($F91="Depends",$E91=""),"REVIEW — add scope text",IF($F91="Depends",IF($G91&gt;=Classify!$C$40,"YES","NO"),IF($G91&gt;=Classify!$C$41,"YES","NO")))))</f>
        <v/>
      </c>
      <c r="I91" s="12" t="str">
        <f aca="false">IF($D91="","",INDEX(Doc_Types!$D$2:$D$77,MATCH($D91,DocTypeList,0)))</f>
        <v/>
      </c>
      <c r="J91" s="37" t="str">
        <f aca="false">IF($D91="","",IF($F91="Yes",INDEX(Doc_Types!$E$2:$E$77,MATCH($D91,DocTypeList,0)),IF(LEFT($H91,6)="REVIEW","Type is 'Depends' — classification is decided by content; paste the scope text to resolve.",IF($H91="YES","Type default is '"&amp;$F91&amp;"' but the text contains "&amp;$G91&amp;" controlled technical term(s) — classification follows content (Wassenaar ML22 technology).",INDEX(Doc_Types!$E$2:$E$77,MATCH($D91,DocTypeList,0))&amp;" Text scan: "&amp;$G91&amp;" controlled term(s), below threshold."))))</f>
        <v/>
      </c>
      <c r="K91" s="51" t="str">
        <f aca="false">IF($H91="YES","EXPORT CONTROLLED",IF($H91="NO","NOT EXPORT CONTROLLED",IF($D91="","","— pending review —")))</f>
        <v/>
      </c>
    </row>
    <row r="92" customFormat="false" ht="30" hidden="false" customHeight="true" outlineLevel="0" collapsed="false">
      <c r="A92" s="48" t="n">
        <v>85</v>
      </c>
      <c r="B92" s="25"/>
      <c r="C92" s="25"/>
      <c r="D92" s="25"/>
      <c r="E92" s="25"/>
      <c r="F92" s="50" t="str">
        <f aca="false">IF($D92="","",INDEX(Doc_Types!$C$2:$C$77,MATCH($D92,DocTypeList,0)))</f>
        <v/>
      </c>
      <c r="G92" s="32" t="str">
        <f aca="false">IF($D92="","",IF($E92="",0,SUMPRODUCT(--ISNUMBER(SEARCH(Keywords!$A$2:$A$136,$E92)),--(Keywords!$A$2:$A$136&lt;&gt;""))))</f>
        <v/>
      </c>
      <c r="H92" s="51" t="str">
        <f aca="false">IF($D92="","",IF($F92="Yes","YES",IF(AND($F92="Depends",$E92=""),"REVIEW — add scope text",IF($F92="Depends",IF($G92&gt;=Classify!$C$40,"YES","NO"),IF($G92&gt;=Classify!$C$41,"YES","NO")))))</f>
        <v/>
      </c>
      <c r="I92" s="12" t="str">
        <f aca="false">IF($D92="","",INDEX(Doc_Types!$D$2:$D$77,MATCH($D92,DocTypeList,0)))</f>
        <v/>
      </c>
      <c r="J92" s="37" t="str">
        <f aca="false">IF($D92="","",IF($F92="Yes",INDEX(Doc_Types!$E$2:$E$77,MATCH($D92,DocTypeList,0)),IF(LEFT($H92,6)="REVIEW","Type is 'Depends' — classification is decided by content; paste the scope text to resolve.",IF($H92="YES","Type default is '"&amp;$F92&amp;"' but the text contains "&amp;$G92&amp;" controlled technical term(s) — classification follows content (Wassenaar ML22 technology).",INDEX(Doc_Types!$E$2:$E$77,MATCH($D92,DocTypeList,0))&amp;" Text scan: "&amp;$G92&amp;" controlled term(s), below threshold."))))</f>
        <v/>
      </c>
      <c r="K92" s="51" t="str">
        <f aca="false">IF($H92="YES","EXPORT CONTROLLED",IF($H92="NO","NOT EXPORT CONTROLLED",IF($D92="","","— pending review —")))</f>
        <v/>
      </c>
    </row>
    <row r="93" customFormat="false" ht="30" hidden="false" customHeight="true" outlineLevel="0" collapsed="false">
      <c r="A93" s="48" t="n">
        <v>86</v>
      </c>
      <c r="B93" s="25"/>
      <c r="C93" s="25"/>
      <c r="D93" s="25"/>
      <c r="E93" s="25"/>
      <c r="F93" s="50" t="str">
        <f aca="false">IF($D93="","",INDEX(Doc_Types!$C$2:$C$77,MATCH($D93,DocTypeList,0)))</f>
        <v/>
      </c>
      <c r="G93" s="32" t="str">
        <f aca="false">IF($D93="","",IF($E93="",0,SUMPRODUCT(--ISNUMBER(SEARCH(Keywords!$A$2:$A$136,$E93)),--(Keywords!$A$2:$A$136&lt;&gt;""))))</f>
        <v/>
      </c>
      <c r="H93" s="51" t="str">
        <f aca="false">IF($D93="","",IF($F93="Yes","YES",IF(AND($F93="Depends",$E93=""),"REVIEW — add scope text",IF($F93="Depends",IF($G93&gt;=Classify!$C$40,"YES","NO"),IF($G93&gt;=Classify!$C$41,"YES","NO")))))</f>
        <v/>
      </c>
      <c r="I93" s="12" t="str">
        <f aca="false">IF($D93="","",INDEX(Doc_Types!$D$2:$D$77,MATCH($D93,DocTypeList,0)))</f>
        <v/>
      </c>
      <c r="J93" s="37" t="str">
        <f aca="false">IF($D93="","",IF($F93="Yes",INDEX(Doc_Types!$E$2:$E$77,MATCH($D93,DocTypeList,0)),IF(LEFT($H93,6)="REVIEW","Type is 'Depends' — classification is decided by content; paste the scope text to resolve.",IF($H93="YES","Type default is '"&amp;$F93&amp;"' but the text contains "&amp;$G93&amp;" controlled technical term(s) — classification follows content (Wassenaar ML22 technology).",INDEX(Doc_Types!$E$2:$E$77,MATCH($D93,DocTypeList,0))&amp;" Text scan: "&amp;$G93&amp;" controlled term(s), below threshold."))))</f>
        <v/>
      </c>
      <c r="K93" s="51" t="str">
        <f aca="false">IF($H93="YES","EXPORT CONTROLLED",IF($H93="NO","NOT EXPORT CONTROLLED",IF($D93="","","— pending review —")))</f>
        <v/>
      </c>
    </row>
    <row r="94" customFormat="false" ht="30" hidden="false" customHeight="true" outlineLevel="0" collapsed="false">
      <c r="A94" s="48" t="n">
        <v>87</v>
      </c>
      <c r="B94" s="25"/>
      <c r="C94" s="25"/>
      <c r="D94" s="25"/>
      <c r="E94" s="25"/>
      <c r="F94" s="50" t="str">
        <f aca="false">IF($D94="","",INDEX(Doc_Types!$C$2:$C$77,MATCH($D94,DocTypeList,0)))</f>
        <v/>
      </c>
      <c r="G94" s="32" t="str">
        <f aca="false">IF($D94="","",IF($E94="",0,SUMPRODUCT(--ISNUMBER(SEARCH(Keywords!$A$2:$A$136,$E94)),--(Keywords!$A$2:$A$136&lt;&gt;""))))</f>
        <v/>
      </c>
      <c r="H94" s="51" t="str">
        <f aca="false">IF($D94="","",IF($F94="Yes","YES",IF(AND($F94="Depends",$E94=""),"REVIEW — add scope text",IF($F94="Depends",IF($G94&gt;=Classify!$C$40,"YES","NO"),IF($G94&gt;=Classify!$C$41,"YES","NO")))))</f>
        <v/>
      </c>
      <c r="I94" s="12" t="str">
        <f aca="false">IF($D94="","",INDEX(Doc_Types!$D$2:$D$77,MATCH($D94,DocTypeList,0)))</f>
        <v/>
      </c>
      <c r="J94" s="37" t="str">
        <f aca="false">IF($D94="","",IF($F94="Yes",INDEX(Doc_Types!$E$2:$E$77,MATCH($D94,DocTypeList,0)),IF(LEFT($H94,6)="REVIEW","Type is 'Depends' — classification is decided by content; paste the scope text to resolve.",IF($H94="YES","Type default is '"&amp;$F94&amp;"' but the text contains "&amp;$G94&amp;" controlled technical term(s) — classification follows content (Wassenaar ML22 technology).",INDEX(Doc_Types!$E$2:$E$77,MATCH($D94,DocTypeList,0))&amp;" Text scan: "&amp;$G94&amp;" controlled term(s), below threshold."))))</f>
        <v/>
      </c>
      <c r="K94" s="51" t="str">
        <f aca="false">IF($H94="YES","EXPORT CONTROLLED",IF($H94="NO","NOT EXPORT CONTROLLED",IF($D94="","","— pending review —")))</f>
        <v/>
      </c>
    </row>
    <row r="95" customFormat="false" ht="30" hidden="false" customHeight="true" outlineLevel="0" collapsed="false">
      <c r="A95" s="48" t="n">
        <v>88</v>
      </c>
      <c r="B95" s="25"/>
      <c r="C95" s="25"/>
      <c r="D95" s="25"/>
      <c r="E95" s="25"/>
      <c r="F95" s="50" t="str">
        <f aca="false">IF($D95="","",INDEX(Doc_Types!$C$2:$C$77,MATCH($D95,DocTypeList,0)))</f>
        <v/>
      </c>
      <c r="G95" s="32" t="str">
        <f aca="false">IF($D95="","",IF($E95="",0,SUMPRODUCT(--ISNUMBER(SEARCH(Keywords!$A$2:$A$136,$E95)),--(Keywords!$A$2:$A$136&lt;&gt;""))))</f>
        <v/>
      </c>
      <c r="H95" s="51" t="str">
        <f aca="false">IF($D95="","",IF($F95="Yes","YES",IF(AND($F95="Depends",$E95=""),"REVIEW — add scope text",IF($F95="Depends",IF($G95&gt;=Classify!$C$40,"YES","NO"),IF($G95&gt;=Classify!$C$41,"YES","NO")))))</f>
        <v/>
      </c>
      <c r="I95" s="12" t="str">
        <f aca="false">IF($D95="","",INDEX(Doc_Types!$D$2:$D$77,MATCH($D95,DocTypeList,0)))</f>
        <v/>
      </c>
      <c r="J95" s="37" t="str">
        <f aca="false">IF($D95="","",IF($F95="Yes",INDEX(Doc_Types!$E$2:$E$77,MATCH($D95,DocTypeList,0)),IF(LEFT($H95,6)="REVIEW","Type is 'Depends' — classification is decided by content; paste the scope text to resolve.",IF($H95="YES","Type default is '"&amp;$F95&amp;"' but the text contains "&amp;$G95&amp;" controlled technical term(s) — classification follows content (Wassenaar ML22 technology).",INDEX(Doc_Types!$E$2:$E$77,MATCH($D95,DocTypeList,0))&amp;" Text scan: "&amp;$G95&amp;" controlled term(s), below threshold."))))</f>
        <v/>
      </c>
      <c r="K95" s="51" t="str">
        <f aca="false">IF($H95="YES","EXPORT CONTROLLED",IF($H95="NO","NOT EXPORT CONTROLLED",IF($D95="","","— pending review —")))</f>
        <v/>
      </c>
    </row>
    <row r="96" customFormat="false" ht="30" hidden="false" customHeight="true" outlineLevel="0" collapsed="false">
      <c r="A96" s="48" t="n">
        <v>89</v>
      </c>
      <c r="B96" s="25"/>
      <c r="C96" s="25"/>
      <c r="D96" s="25"/>
      <c r="E96" s="25"/>
      <c r="F96" s="50" t="str">
        <f aca="false">IF($D96="","",INDEX(Doc_Types!$C$2:$C$77,MATCH($D96,DocTypeList,0)))</f>
        <v/>
      </c>
      <c r="G96" s="32" t="str">
        <f aca="false">IF($D96="","",IF($E96="",0,SUMPRODUCT(--ISNUMBER(SEARCH(Keywords!$A$2:$A$136,$E96)),--(Keywords!$A$2:$A$136&lt;&gt;""))))</f>
        <v/>
      </c>
      <c r="H96" s="51" t="str">
        <f aca="false">IF($D96="","",IF($F96="Yes","YES",IF(AND($F96="Depends",$E96=""),"REVIEW — add scope text",IF($F96="Depends",IF($G96&gt;=Classify!$C$40,"YES","NO"),IF($G96&gt;=Classify!$C$41,"YES","NO")))))</f>
        <v/>
      </c>
      <c r="I96" s="12" t="str">
        <f aca="false">IF($D96="","",INDEX(Doc_Types!$D$2:$D$77,MATCH($D96,DocTypeList,0)))</f>
        <v/>
      </c>
      <c r="J96" s="37" t="str">
        <f aca="false">IF($D96="","",IF($F96="Yes",INDEX(Doc_Types!$E$2:$E$77,MATCH($D96,DocTypeList,0)),IF(LEFT($H96,6)="REVIEW","Type is 'Depends' — classification is decided by content; paste the scope text to resolve.",IF($H96="YES","Type default is '"&amp;$F96&amp;"' but the text contains "&amp;$G96&amp;" controlled technical term(s) — classification follows content (Wassenaar ML22 technology).",INDEX(Doc_Types!$E$2:$E$77,MATCH($D96,DocTypeList,0))&amp;" Text scan: "&amp;$G96&amp;" controlled term(s), below threshold."))))</f>
        <v/>
      </c>
      <c r="K96" s="51" t="str">
        <f aca="false">IF($H96="YES","EXPORT CONTROLLED",IF($H96="NO","NOT EXPORT CONTROLLED",IF($D96="","","— pending review —")))</f>
        <v/>
      </c>
    </row>
    <row r="97" customFormat="false" ht="30" hidden="false" customHeight="true" outlineLevel="0" collapsed="false">
      <c r="A97" s="48" t="n">
        <v>90</v>
      </c>
      <c r="B97" s="25"/>
      <c r="C97" s="25"/>
      <c r="D97" s="25"/>
      <c r="E97" s="25"/>
      <c r="F97" s="50" t="str">
        <f aca="false">IF($D97="","",INDEX(Doc_Types!$C$2:$C$77,MATCH($D97,DocTypeList,0)))</f>
        <v/>
      </c>
      <c r="G97" s="32" t="str">
        <f aca="false">IF($D97="","",IF($E97="",0,SUMPRODUCT(--ISNUMBER(SEARCH(Keywords!$A$2:$A$136,$E97)),--(Keywords!$A$2:$A$136&lt;&gt;""))))</f>
        <v/>
      </c>
      <c r="H97" s="51" t="str">
        <f aca="false">IF($D97="","",IF($F97="Yes","YES",IF(AND($F97="Depends",$E97=""),"REVIEW — add scope text",IF($F97="Depends",IF($G97&gt;=Classify!$C$40,"YES","NO"),IF($G97&gt;=Classify!$C$41,"YES","NO")))))</f>
        <v/>
      </c>
      <c r="I97" s="12" t="str">
        <f aca="false">IF($D97="","",INDEX(Doc_Types!$D$2:$D$77,MATCH($D97,DocTypeList,0)))</f>
        <v/>
      </c>
      <c r="J97" s="37" t="str">
        <f aca="false">IF($D97="","",IF($F97="Yes",INDEX(Doc_Types!$E$2:$E$77,MATCH($D97,DocTypeList,0)),IF(LEFT($H97,6)="REVIEW","Type is 'Depends' — classification is decided by content; paste the scope text to resolve.",IF($H97="YES","Type default is '"&amp;$F97&amp;"' but the text contains "&amp;$G97&amp;" controlled technical term(s) — classification follows content (Wassenaar ML22 technology).",INDEX(Doc_Types!$E$2:$E$77,MATCH($D97,DocTypeList,0))&amp;" Text scan: "&amp;$G97&amp;" controlled term(s), below threshold."))))</f>
        <v/>
      </c>
      <c r="K97" s="51" t="str">
        <f aca="false">IF($H97="YES","EXPORT CONTROLLED",IF($H97="NO","NOT EXPORT CONTROLLED",IF($D97="","","— pending review —")))</f>
        <v/>
      </c>
    </row>
    <row r="98" customFormat="false" ht="30" hidden="false" customHeight="true" outlineLevel="0" collapsed="false">
      <c r="A98" s="48" t="n">
        <v>91</v>
      </c>
      <c r="B98" s="25"/>
      <c r="C98" s="25"/>
      <c r="D98" s="25"/>
      <c r="E98" s="25"/>
      <c r="F98" s="50" t="str">
        <f aca="false">IF($D98="","",INDEX(Doc_Types!$C$2:$C$77,MATCH($D98,DocTypeList,0)))</f>
        <v/>
      </c>
      <c r="G98" s="32" t="str">
        <f aca="false">IF($D98="","",IF($E98="",0,SUMPRODUCT(--ISNUMBER(SEARCH(Keywords!$A$2:$A$136,$E98)),--(Keywords!$A$2:$A$136&lt;&gt;""))))</f>
        <v/>
      </c>
      <c r="H98" s="51" t="str">
        <f aca="false">IF($D98="","",IF($F98="Yes","YES",IF(AND($F98="Depends",$E98=""),"REVIEW — add scope text",IF($F98="Depends",IF($G98&gt;=Classify!$C$40,"YES","NO"),IF($G98&gt;=Classify!$C$41,"YES","NO")))))</f>
        <v/>
      </c>
      <c r="I98" s="12" t="str">
        <f aca="false">IF($D98="","",INDEX(Doc_Types!$D$2:$D$77,MATCH($D98,DocTypeList,0)))</f>
        <v/>
      </c>
      <c r="J98" s="37" t="str">
        <f aca="false">IF($D98="","",IF($F98="Yes",INDEX(Doc_Types!$E$2:$E$77,MATCH($D98,DocTypeList,0)),IF(LEFT($H98,6)="REVIEW","Type is 'Depends' — classification is decided by content; paste the scope text to resolve.",IF($H98="YES","Type default is '"&amp;$F98&amp;"' but the text contains "&amp;$G98&amp;" controlled technical term(s) — classification follows content (Wassenaar ML22 technology).",INDEX(Doc_Types!$E$2:$E$77,MATCH($D98,DocTypeList,0))&amp;" Text scan: "&amp;$G98&amp;" controlled term(s), below threshold."))))</f>
        <v/>
      </c>
      <c r="K98" s="51" t="str">
        <f aca="false">IF($H98="YES","EXPORT CONTROLLED",IF($H98="NO","NOT EXPORT CONTROLLED",IF($D98="","","— pending review —")))</f>
        <v/>
      </c>
    </row>
    <row r="99" customFormat="false" ht="30" hidden="false" customHeight="true" outlineLevel="0" collapsed="false">
      <c r="A99" s="48" t="n">
        <v>92</v>
      </c>
      <c r="B99" s="25"/>
      <c r="C99" s="25"/>
      <c r="D99" s="25"/>
      <c r="E99" s="25"/>
      <c r="F99" s="50" t="str">
        <f aca="false">IF($D99="","",INDEX(Doc_Types!$C$2:$C$77,MATCH($D99,DocTypeList,0)))</f>
        <v/>
      </c>
      <c r="G99" s="32" t="str">
        <f aca="false">IF($D99="","",IF($E99="",0,SUMPRODUCT(--ISNUMBER(SEARCH(Keywords!$A$2:$A$136,$E99)),--(Keywords!$A$2:$A$136&lt;&gt;""))))</f>
        <v/>
      </c>
      <c r="H99" s="51" t="str">
        <f aca="false">IF($D99="","",IF($F99="Yes","YES",IF(AND($F99="Depends",$E99=""),"REVIEW — add scope text",IF($F99="Depends",IF($G99&gt;=Classify!$C$40,"YES","NO"),IF($G99&gt;=Classify!$C$41,"YES","NO")))))</f>
        <v/>
      </c>
      <c r="I99" s="12" t="str">
        <f aca="false">IF($D99="","",INDEX(Doc_Types!$D$2:$D$77,MATCH($D99,DocTypeList,0)))</f>
        <v/>
      </c>
      <c r="J99" s="37" t="str">
        <f aca="false">IF($D99="","",IF($F99="Yes",INDEX(Doc_Types!$E$2:$E$77,MATCH($D99,DocTypeList,0)),IF(LEFT($H99,6)="REVIEW","Type is 'Depends' — classification is decided by content; paste the scope text to resolve.",IF($H99="YES","Type default is '"&amp;$F99&amp;"' but the text contains "&amp;$G99&amp;" controlled technical term(s) — classification follows content (Wassenaar ML22 technology).",INDEX(Doc_Types!$E$2:$E$77,MATCH($D99,DocTypeList,0))&amp;" Text scan: "&amp;$G99&amp;" controlled term(s), below threshold."))))</f>
        <v/>
      </c>
      <c r="K99" s="51" t="str">
        <f aca="false">IF($H99="YES","EXPORT CONTROLLED",IF($H99="NO","NOT EXPORT CONTROLLED",IF($D99="","","— pending review —")))</f>
        <v/>
      </c>
    </row>
    <row r="100" customFormat="false" ht="30" hidden="false" customHeight="true" outlineLevel="0" collapsed="false">
      <c r="A100" s="48" t="n">
        <v>93</v>
      </c>
      <c r="B100" s="25"/>
      <c r="C100" s="25"/>
      <c r="D100" s="25"/>
      <c r="E100" s="25"/>
      <c r="F100" s="50" t="str">
        <f aca="false">IF($D100="","",INDEX(Doc_Types!$C$2:$C$77,MATCH($D100,DocTypeList,0)))</f>
        <v/>
      </c>
      <c r="G100" s="32" t="str">
        <f aca="false">IF($D100="","",IF($E100="",0,SUMPRODUCT(--ISNUMBER(SEARCH(Keywords!$A$2:$A$136,$E100)),--(Keywords!$A$2:$A$136&lt;&gt;""))))</f>
        <v/>
      </c>
      <c r="H100" s="51" t="str">
        <f aca="false">IF($D100="","",IF($F100="Yes","YES",IF(AND($F100="Depends",$E100=""),"REVIEW — add scope text",IF($F100="Depends",IF($G100&gt;=Classify!$C$40,"YES","NO"),IF($G100&gt;=Classify!$C$41,"YES","NO")))))</f>
        <v/>
      </c>
      <c r="I100" s="12" t="str">
        <f aca="false">IF($D100="","",INDEX(Doc_Types!$D$2:$D$77,MATCH($D100,DocTypeList,0)))</f>
        <v/>
      </c>
      <c r="J100" s="37" t="str">
        <f aca="false">IF($D100="","",IF($F100="Yes",INDEX(Doc_Types!$E$2:$E$77,MATCH($D100,DocTypeList,0)),IF(LEFT($H100,6)="REVIEW","Type is 'Depends' — classification is decided by content; paste the scope text to resolve.",IF($H100="YES","Type default is '"&amp;$F100&amp;"' but the text contains "&amp;$G100&amp;" controlled technical term(s) — classification follows content (Wassenaar ML22 technology).",INDEX(Doc_Types!$E$2:$E$77,MATCH($D100,DocTypeList,0))&amp;" Text scan: "&amp;$G100&amp;" controlled term(s), below threshold."))))</f>
        <v/>
      </c>
      <c r="K100" s="51" t="str">
        <f aca="false">IF($H100="YES","EXPORT CONTROLLED",IF($H100="NO","NOT EXPORT CONTROLLED",IF($D100="","","— pending review —")))</f>
        <v/>
      </c>
    </row>
    <row r="101" customFormat="false" ht="30" hidden="false" customHeight="true" outlineLevel="0" collapsed="false">
      <c r="A101" s="48" t="n">
        <v>94</v>
      </c>
      <c r="B101" s="25"/>
      <c r="C101" s="25"/>
      <c r="D101" s="25"/>
      <c r="E101" s="25"/>
      <c r="F101" s="50" t="str">
        <f aca="false">IF($D101="","",INDEX(Doc_Types!$C$2:$C$77,MATCH($D101,DocTypeList,0)))</f>
        <v/>
      </c>
      <c r="G101" s="32" t="str">
        <f aca="false">IF($D101="","",IF($E101="",0,SUMPRODUCT(--ISNUMBER(SEARCH(Keywords!$A$2:$A$136,$E101)),--(Keywords!$A$2:$A$136&lt;&gt;""))))</f>
        <v/>
      </c>
      <c r="H101" s="51" t="str">
        <f aca="false">IF($D101="","",IF($F101="Yes","YES",IF(AND($F101="Depends",$E101=""),"REVIEW — add scope text",IF($F101="Depends",IF($G101&gt;=Classify!$C$40,"YES","NO"),IF($G101&gt;=Classify!$C$41,"YES","NO")))))</f>
        <v/>
      </c>
      <c r="I101" s="12" t="str">
        <f aca="false">IF($D101="","",INDEX(Doc_Types!$D$2:$D$77,MATCH($D101,DocTypeList,0)))</f>
        <v/>
      </c>
      <c r="J101" s="37" t="str">
        <f aca="false">IF($D101="","",IF($F101="Yes",INDEX(Doc_Types!$E$2:$E$77,MATCH($D101,DocTypeList,0)),IF(LEFT($H101,6)="REVIEW","Type is 'Depends' — classification is decided by content; paste the scope text to resolve.",IF($H101="YES","Type default is '"&amp;$F101&amp;"' but the text contains "&amp;$G101&amp;" controlled technical term(s) — classification follows content (Wassenaar ML22 technology).",INDEX(Doc_Types!$E$2:$E$77,MATCH($D101,DocTypeList,0))&amp;" Text scan: "&amp;$G101&amp;" controlled term(s), below threshold."))))</f>
        <v/>
      </c>
      <c r="K101" s="51" t="str">
        <f aca="false">IF($H101="YES","EXPORT CONTROLLED",IF($H101="NO","NOT EXPORT CONTROLLED",IF($D101="","","— pending review —")))</f>
        <v/>
      </c>
    </row>
    <row r="102" customFormat="false" ht="30" hidden="false" customHeight="true" outlineLevel="0" collapsed="false">
      <c r="A102" s="48" t="n">
        <v>95</v>
      </c>
      <c r="B102" s="25"/>
      <c r="C102" s="25"/>
      <c r="D102" s="25"/>
      <c r="E102" s="25"/>
      <c r="F102" s="50" t="str">
        <f aca="false">IF($D102="","",INDEX(Doc_Types!$C$2:$C$77,MATCH($D102,DocTypeList,0)))</f>
        <v/>
      </c>
      <c r="G102" s="32" t="str">
        <f aca="false">IF($D102="","",IF($E102="",0,SUMPRODUCT(--ISNUMBER(SEARCH(Keywords!$A$2:$A$136,$E102)),--(Keywords!$A$2:$A$136&lt;&gt;""))))</f>
        <v/>
      </c>
      <c r="H102" s="51" t="str">
        <f aca="false">IF($D102="","",IF($F102="Yes","YES",IF(AND($F102="Depends",$E102=""),"REVIEW — add scope text",IF($F102="Depends",IF($G102&gt;=Classify!$C$40,"YES","NO"),IF($G102&gt;=Classify!$C$41,"YES","NO")))))</f>
        <v/>
      </c>
      <c r="I102" s="12" t="str">
        <f aca="false">IF($D102="","",INDEX(Doc_Types!$D$2:$D$77,MATCH($D102,DocTypeList,0)))</f>
        <v/>
      </c>
      <c r="J102" s="37" t="str">
        <f aca="false">IF($D102="","",IF($F102="Yes",INDEX(Doc_Types!$E$2:$E$77,MATCH($D102,DocTypeList,0)),IF(LEFT($H102,6)="REVIEW","Type is 'Depends' — classification is decided by content; paste the scope text to resolve.",IF($H102="YES","Type default is '"&amp;$F102&amp;"' but the text contains "&amp;$G102&amp;" controlled technical term(s) — classification follows content (Wassenaar ML22 technology).",INDEX(Doc_Types!$E$2:$E$77,MATCH($D102,DocTypeList,0))&amp;" Text scan: "&amp;$G102&amp;" controlled term(s), below threshold."))))</f>
        <v/>
      </c>
      <c r="K102" s="51" t="str">
        <f aca="false">IF($H102="YES","EXPORT CONTROLLED",IF($H102="NO","NOT EXPORT CONTROLLED",IF($D102="","","— pending review —")))</f>
        <v/>
      </c>
    </row>
    <row r="103" customFormat="false" ht="30" hidden="false" customHeight="true" outlineLevel="0" collapsed="false">
      <c r="A103" s="48" t="n">
        <v>96</v>
      </c>
      <c r="B103" s="25"/>
      <c r="C103" s="25"/>
      <c r="D103" s="25"/>
      <c r="E103" s="25"/>
      <c r="F103" s="50" t="str">
        <f aca="false">IF($D103="","",INDEX(Doc_Types!$C$2:$C$77,MATCH($D103,DocTypeList,0)))</f>
        <v/>
      </c>
      <c r="G103" s="32" t="str">
        <f aca="false">IF($D103="","",IF($E103="",0,SUMPRODUCT(--ISNUMBER(SEARCH(Keywords!$A$2:$A$136,$E103)),--(Keywords!$A$2:$A$136&lt;&gt;""))))</f>
        <v/>
      </c>
      <c r="H103" s="51" t="str">
        <f aca="false">IF($D103="","",IF($F103="Yes","YES",IF(AND($F103="Depends",$E103=""),"REVIEW — add scope text",IF($F103="Depends",IF($G103&gt;=Classify!$C$40,"YES","NO"),IF($G103&gt;=Classify!$C$41,"YES","NO")))))</f>
        <v/>
      </c>
      <c r="I103" s="12" t="str">
        <f aca="false">IF($D103="","",INDEX(Doc_Types!$D$2:$D$77,MATCH($D103,DocTypeList,0)))</f>
        <v/>
      </c>
      <c r="J103" s="37" t="str">
        <f aca="false">IF($D103="","",IF($F103="Yes",INDEX(Doc_Types!$E$2:$E$77,MATCH($D103,DocTypeList,0)),IF(LEFT($H103,6)="REVIEW","Type is 'Depends' — classification is decided by content; paste the scope text to resolve.",IF($H103="YES","Type default is '"&amp;$F103&amp;"' but the text contains "&amp;$G103&amp;" controlled technical term(s) — classification follows content (Wassenaar ML22 technology).",INDEX(Doc_Types!$E$2:$E$77,MATCH($D103,DocTypeList,0))&amp;" Text scan: "&amp;$G103&amp;" controlled term(s), below threshold."))))</f>
        <v/>
      </c>
      <c r="K103" s="51" t="str">
        <f aca="false">IF($H103="YES","EXPORT CONTROLLED",IF($H103="NO","NOT EXPORT CONTROLLED",IF($D103="","","— pending review —")))</f>
        <v/>
      </c>
    </row>
    <row r="104" customFormat="false" ht="30" hidden="false" customHeight="true" outlineLevel="0" collapsed="false">
      <c r="A104" s="48" t="n">
        <v>97</v>
      </c>
      <c r="B104" s="25"/>
      <c r="C104" s="25"/>
      <c r="D104" s="25"/>
      <c r="E104" s="25"/>
      <c r="F104" s="50" t="str">
        <f aca="false">IF($D104="","",INDEX(Doc_Types!$C$2:$C$77,MATCH($D104,DocTypeList,0)))</f>
        <v/>
      </c>
      <c r="G104" s="32" t="str">
        <f aca="false">IF($D104="","",IF($E104="",0,SUMPRODUCT(--ISNUMBER(SEARCH(Keywords!$A$2:$A$136,$E104)),--(Keywords!$A$2:$A$136&lt;&gt;""))))</f>
        <v/>
      </c>
      <c r="H104" s="51" t="str">
        <f aca="false">IF($D104="","",IF($F104="Yes","YES",IF(AND($F104="Depends",$E104=""),"REVIEW — add scope text",IF($F104="Depends",IF($G104&gt;=Classify!$C$40,"YES","NO"),IF($G104&gt;=Classify!$C$41,"YES","NO")))))</f>
        <v/>
      </c>
      <c r="I104" s="12" t="str">
        <f aca="false">IF($D104="","",INDEX(Doc_Types!$D$2:$D$77,MATCH($D104,DocTypeList,0)))</f>
        <v/>
      </c>
      <c r="J104" s="37" t="str">
        <f aca="false">IF($D104="","",IF($F104="Yes",INDEX(Doc_Types!$E$2:$E$77,MATCH($D104,DocTypeList,0)),IF(LEFT($H104,6)="REVIEW","Type is 'Depends' — classification is decided by content; paste the scope text to resolve.",IF($H104="YES","Type default is '"&amp;$F104&amp;"' but the text contains "&amp;$G104&amp;" controlled technical term(s) — classification follows content (Wassenaar ML22 technology).",INDEX(Doc_Types!$E$2:$E$77,MATCH($D104,DocTypeList,0))&amp;" Text scan: "&amp;$G104&amp;" controlled term(s), below threshold."))))</f>
        <v/>
      </c>
      <c r="K104" s="51" t="str">
        <f aca="false">IF($H104="YES","EXPORT CONTROLLED",IF($H104="NO","NOT EXPORT CONTROLLED",IF($D104="","","— pending review —")))</f>
        <v/>
      </c>
    </row>
    <row r="105" customFormat="false" ht="30" hidden="false" customHeight="true" outlineLevel="0" collapsed="false">
      <c r="A105" s="48" t="n">
        <v>98</v>
      </c>
      <c r="B105" s="25"/>
      <c r="C105" s="25"/>
      <c r="D105" s="25"/>
      <c r="E105" s="25"/>
      <c r="F105" s="50" t="str">
        <f aca="false">IF($D105="","",INDEX(Doc_Types!$C$2:$C$77,MATCH($D105,DocTypeList,0)))</f>
        <v/>
      </c>
      <c r="G105" s="32" t="str">
        <f aca="false">IF($D105="","",IF($E105="",0,SUMPRODUCT(--ISNUMBER(SEARCH(Keywords!$A$2:$A$136,$E105)),--(Keywords!$A$2:$A$136&lt;&gt;""))))</f>
        <v/>
      </c>
      <c r="H105" s="51" t="str">
        <f aca="false">IF($D105="","",IF($F105="Yes","YES",IF(AND($F105="Depends",$E105=""),"REVIEW — add scope text",IF($F105="Depends",IF($G105&gt;=Classify!$C$40,"YES","NO"),IF($G105&gt;=Classify!$C$41,"YES","NO")))))</f>
        <v/>
      </c>
      <c r="I105" s="12" t="str">
        <f aca="false">IF($D105="","",INDEX(Doc_Types!$D$2:$D$77,MATCH($D105,DocTypeList,0)))</f>
        <v/>
      </c>
      <c r="J105" s="37" t="str">
        <f aca="false">IF($D105="","",IF($F105="Yes",INDEX(Doc_Types!$E$2:$E$77,MATCH($D105,DocTypeList,0)),IF(LEFT($H105,6)="REVIEW","Type is 'Depends' — classification is decided by content; paste the scope text to resolve.",IF($H105="YES","Type default is '"&amp;$F105&amp;"' but the text contains "&amp;$G105&amp;" controlled technical term(s) — classification follows content (Wassenaar ML22 technology).",INDEX(Doc_Types!$E$2:$E$77,MATCH($D105,DocTypeList,0))&amp;" Text scan: "&amp;$G105&amp;" controlled term(s), below threshold."))))</f>
        <v/>
      </c>
      <c r="K105" s="51" t="str">
        <f aca="false">IF($H105="YES","EXPORT CONTROLLED",IF($H105="NO","NOT EXPORT CONTROLLED",IF($D105="","","— pending review —")))</f>
        <v/>
      </c>
    </row>
    <row r="106" customFormat="false" ht="30" hidden="false" customHeight="true" outlineLevel="0" collapsed="false">
      <c r="A106" s="48" t="n">
        <v>99</v>
      </c>
      <c r="B106" s="25"/>
      <c r="C106" s="25"/>
      <c r="D106" s="25"/>
      <c r="E106" s="25"/>
      <c r="F106" s="50" t="str">
        <f aca="false">IF($D106="","",INDEX(Doc_Types!$C$2:$C$77,MATCH($D106,DocTypeList,0)))</f>
        <v/>
      </c>
      <c r="G106" s="32" t="str">
        <f aca="false">IF($D106="","",IF($E106="",0,SUMPRODUCT(--ISNUMBER(SEARCH(Keywords!$A$2:$A$136,$E106)),--(Keywords!$A$2:$A$136&lt;&gt;""))))</f>
        <v/>
      </c>
      <c r="H106" s="51" t="str">
        <f aca="false">IF($D106="","",IF($F106="Yes","YES",IF(AND($F106="Depends",$E106=""),"REVIEW — add scope text",IF($F106="Depends",IF($G106&gt;=Classify!$C$40,"YES","NO"),IF($G106&gt;=Classify!$C$41,"YES","NO")))))</f>
        <v/>
      </c>
      <c r="I106" s="12" t="str">
        <f aca="false">IF($D106="","",INDEX(Doc_Types!$D$2:$D$77,MATCH($D106,DocTypeList,0)))</f>
        <v/>
      </c>
      <c r="J106" s="37" t="str">
        <f aca="false">IF($D106="","",IF($F106="Yes",INDEX(Doc_Types!$E$2:$E$77,MATCH($D106,DocTypeList,0)),IF(LEFT($H106,6)="REVIEW","Type is 'Depends' — classification is decided by content; paste the scope text to resolve.",IF($H106="YES","Type default is '"&amp;$F106&amp;"' but the text contains "&amp;$G106&amp;" controlled technical term(s) — classification follows content (Wassenaar ML22 technology).",INDEX(Doc_Types!$E$2:$E$77,MATCH($D106,DocTypeList,0))&amp;" Text scan: "&amp;$G106&amp;" controlled term(s), below threshold."))))</f>
        <v/>
      </c>
      <c r="K106" s="51" t="str">
        <f aca="false">IF($H106="YES","EXPORT CONTROLLED",IF($H106="NO","NOT EXPORT CONTROLLED",IF($D106="","","— pending review —")))</f>
        <v/>
      </c>
    </row>
    <row r="107" customFormat="false" ht="30" hidden="false" customHeight="true" outlineLevel="0" collapsed="false">
      <c r="A107" s="48" t="n">
        <v>100</v>
      </c>
      <c r="B107" s="25"/>
      <c r="C107" s="25"/>
      <c r="D107" s="25"/>
      <c r="E107" s="25"/>
      <c r="F107" s="50" t="str">
        <f aca="false">IF($D107="","",INDEX(Doc_Types!$C$2:$C$77,MATCH($D107,DocTypeList,0)))</f>
        <v/>
      </c>
      <c r="G107" s="32" t="str">
        <f aca="false">IF($D107="","",IF($E107="",0,SUMPRODUCT(--ISNUMBER(SEARCH(Keywords!$A$2:$A$136,$E107)),--(Keywords!$A$2:$A$136&lt;&gt;""))))</f>
        <v/>
      </c>
      <c r="H107" s="51" t="str">
        <f aca="false">IF($D107="","",IF($F107="Yes","YES",IF(AND($F107="Depends",$E107=""),"REVIEW — add scope text",IF($F107="Depends",IF($G107&gt;=Classify!$C$40,"YES","NO"),IF($G107&gt;=Classify!$C$41,"YES","NO")))))</f>
        <v/>
      </c>
      <c r="I107" s="12" t="str">
        <f aca="false">IF($D107="","",INDEX(Doc_Types!$D$2:$D$77,MATCH($D107,DocTypeList,0)))</f>
        <v/>
      </c>
      <c r="J107" s="37" t="str">
        <f aca="false">IF($D107="","",IF($F107="Yes",INDEX(Doc_Types!$E$2:$E$77,MATCH($D107,DocTypeList,0)),IF(LEFT($H107,6)="REVIEW","Type is 'Depends' — classification is decided by content; paste the scope text to resolve.",IF($H107="YES","Type default is '"&amp;$F107&amp;"' but the text contains "&amp;$G107&amp;" controlled technical term(s) — classification follows content (Wassenaar ML22 technology).",INDEX(Doc_Types!$E$2:$E$77,MATCH($D107,DocTypeList,0))&amp;" Text scan: "&amp;$G107&amp;" controlled term(s), below threshold."))))</f>
        <v/>
      </c>
      <c r="K107" s="51" t="str">
        <f aca="false">IF($H107="YES","EXPORT CONTROLLED",IF($H107="NO","NOT EXPORT CONTROLLED",IF($D107="","","— pending review —")))</f>
        <v/>
      </c>
    </row>
    <row r="108" customFormat="false" ht="30" hidden="false" customHeight="true" outlineLevel="0" collapsed="false">
      <c r="A108" s="48" t="n">
        <v>101</v>
      </c>
      <c r="B108" s="25"/>
      <c r="C108" s="25"/>
      <c r="D108" s="25"/>
      <c r="E108" s="25"/>
      <c r="F108" s="50" t="str">
        <f aca="false">IF($D108="","",INDEX(Doc_Types!$C$2:$C$77,MATCH($D108,DocTypeList,0)))</f>
        <v/>
      </c>
      <c r="G108" s="32" t="str">
        <f aca="false">IF($D108="","",IF($E108="",0,SUMPRODUCT(--ISNUMBER(SEARCH(Keywords!$A$2:$A$136,$E108)),--(Keywords!$A$2:$A$136&lt;&gt;""))))</f>
        <v/>
      </c>
      <c r="H108" s="51" t="str">
        <f aca="false">IF($D108="","",IF($F108="Yes","YES",IF(AND($F108="Depends",$E108=""),"REVIEW — add scope text",IF($F108="Depends",IF($G108&gt;=Classify!$C$40,"YES","NO"),IF($G108&gt;=Classify!$C$41,"YES","NO")))))</f>
        <v/>
      </c>
      <c r="I108" s="12" t="str">
        <f aca="false">IF($D108="","",INDEX(Doc_Types!$D$2:$D$77,MATCH($D108,DocTypeList,0)))</f>
        <v/>
      </c>
      <c r="J108" s="37" t="str">
        <f aca="false">IF($D108="","",IF($F108="Yes",INDEX(Doc_Types!$E$2:$E$77,MATCH($D108,DocTypeList,0)),IF(LEFT($H108,6)="REVIEW","Type is 'Depends' — classification is decided by content; paste the scope text to resolve.",IF($H108="YES","Type default is '"&amp;$F108&amp;"' but the text contains "&amp;$G108&amp;" controlled technical term(s) — classification follows content (Wassenaar ML22 technology).",INDEX(Doc_Types!$E$2:$E$77,MATCH($D108,DocTypeList,0))&amp;" Text scan: "&amp;$G108&amp;" controlled term(s), below threshold."))))</f>
        <v/>
      </c>
      <c r="K108" s="51" t="str">
        <f aca="false">IF($H108="YES","EXPORT CONTROLLED",IF($H108="NO","NOT EXPORT CONTROLLED",IF($D108="","","— pending review —")))</f>
        <v/>
      </c>
    </row>
    <row r="109" customFormat="false" ht="30" hidden="false" customHeight="true" outlineLevel="0" collapsed="false">
      <c r="A109" s="48" t="n">
        <v>102</v>
      </c>
      <c r="B109" s="25"/>
      <c r="C109" s="25"/>
      <c r="D109" s="25"/>
      <c r="E109" s="25"/>
      <c r="F109" s="50" t="str">
        <f aca="false">IF($D109="","",INDEX(Doc_Types!$C$2:$C$77,MATCH($D109,DocTypeList,0)))</f>
        <v/>
      </c>
      <c r="G109" s="32" t="str">
        <f aca="false">IF($D109="","",IF($E109="",0,SUMPRODUCT(--ISNUMBER(SEARCH(Keywords!$A$2:$A$136,$E109)),--(Keywords!$A$2:$A$136&lt;&gt;""))))</f>
        <v/>
      </c>
      <c r="H109" s="51" t="str">
        <f aca="false">IF($D109="","",IF($F109="Yes","YES",IF(AND($F109="Depends",$E109=""),"REVIEW — add scope text",IF($F109="Depends",IF($G109&gt;=Classify!$C$40,"YES","NO"),IF($G109&gt;=Classify!$C$41,"YES","NO")))))</f>
        <v/>
      </c>
      <c r="I109" s="12" t="str">
        <f aca="false">IF($D109="","",INDEX(Doc_Types!$D$2:$D$77,MATCH($D109,DocTypeList,0)))</f>
        <v/>
      </c>
      <c r="J109" s="37" t="str">
        <f aca="false">IF($D109="","",IF($F109="Yes",INDEX(Doc_Types!$E$2:$E$77,MATCH($D109,DocTypeList,0)),IF(LEFT($H109,6)="REVIEW","Type is 'Depends' — classification is decided by content; paste the scope text to resolve.",IF($H109="YES","Type default is '"&amp;$F109&amp;"' but the text contains "&amp;$G109&amp;" controlled technical term(s) — classification follows content (Wassenaar ML22 technology).",INDEX(Doc_Types!$E$2:$E$77,MATCH($D109,DocTypeList,0))&amp;" Text scan: "&amp;$G109&amp;" controlled term(s), below threshold."))))</f>
        <v/>
      </c>
      <c r="K109" s="51" t="str">
        <f aca="false">IF($H109="YES","EXPORT CONTROLLED",IF($H109="NO","NOT EXPORT CONTROLLED",IF($D109="","","— pending review —")))</f>
        <v/>
      </c>
    </row>
    <row r="110" customFormat="false" ht="30" hidden="false" customHeight="true" outlineLevel="0" collapsed="false">
      <c r="A110" s="48" t="n">
        <v>103</v>
      </c>
      <c r="B110" s="25"/>
      <c r="C110" s="25"/>
      <c r="D110" s="25"/>
      <c r="E110" s="25"/>
      <c r="F110" s="50" t="str">
        <f aca="false">IF($D110="","",INDEX(Doc_Types!$C$2:$C$77,MATCH($D110,DocTypeList,0)))</f>
        <v/>
      </c>
      <c r="G110" s="32" t="str">
        <f aca="false">IF($D110="","",IF($E110="",0,SUMPRODUCT(--ISNUMBER(SEARCH(Keywords!$A$2:$A$136,$E110)),--(Keywords!$A$2:$A$136&lt;&gt;""))))</f>
        <v/>
      </c>
      <c r="H110" s="51" t="str">
        <f aca="false">IF($D110="","",IF($F110="Yes","YES",IF(AND($F110="Depends",$E110=""),"REVIEW — add scope text",IF($F110="Depends",IF($G110&gt;=Classify!$C$40,"YES","NO"),IF($G110&gt;=Classify!$C$41,"YES","NO")))))</f>
        <v/>
      </c>
      <c r="I110" s="12" t="str">
        <f aca="false">IF($D110="","",INDEX(Doc_Types!$D$2:$D$77,MATCH($D110,DocTypeList,0)))</f>
        <v/>
      </c>
      <c r="J110" s="37" t="str">
        <f aca="false">IF($D110="","",IF($F110="Yes",INDEX(Doc_Types!$E$2:$E$77,MATCH($D110,DocTypeList,0)),IF(LEFT($H110,6)="REVIEW","Type is 'Depends' — classification is decided by content; paste the scope text to resolve.",IF($H110="YES","Type default is '"&amp;$F110&amp;"' but the text contains "&amp;$G110&amp;" controlled technical term(s) — classification follows content (Wassenaar ML22 technology).",INDEX(Doc_Types!$E$2:$E$77,MATCH($D110,DocTypeList,0))&amp;" Text scan: "&amp;$G110&amp;" controlled term(s), below threshold."))))</f>
        <v/>
      </c>
      <c r="K110" s="51" t="str">
        <f aca="false">IF($H110="YES","EXPORT CONTROLLED",IF($H110="NO","NOT EXPORT CONTROLLED",IF($D110="","","— pending review —")))</f>
        <v/>
      </c>
    </row>
    <row r="111" customFormat="false" ht="30" hidden="false" customHeight="true" outlineLevel="0" collapsed="false">
      <c r="A111" s="48" t="n">
        <v>104</v>
      </c>
      <c r="B111" s="25"/>
      <c r="C111" s="25"/>
      <c r="D111" s="25"/>
      <c r="E111" s="25"/>
      <c r="F111" s="50" t="str">
        <f aca="false">IF($D111="","",INDEX(Doc_Types!$C$2:$C$77,MATCH($D111,DocTypeList,0)))</f>
        <v/>
      </c>
      <c r="G111" s="32" t="str">
        <f aca="false">IF($D111="","",IF($E111="",0,SUMPRODUCT(--ISNUMBER(SEARCH(Keywords!$A$2:$A$136,$E111)),--(Keywords!$A$2:$A$136&lt;&gt;""))))</f>
        <v/>
      </c>
      <c r="H111" s="51" t="str">
        <f aca="false">IF($D111="","",IF($F111="Yes","YES",IF(AND($F111="Depends",$E111=""),"REVIEW — add scope text",IF($F111="Depends",IF($G111&gt;=Classify!$C$40,"YES","NO"),IF($G111&gt;=Classify!$C$41,"YES","NO")))))</f>
        <v/>
      </c>
      <c r="I111" s="12" t="str">
        <f aca="false">IF($D111="","",INDEX(Doc_Types!$D$2:$D$77,MATCH($D111,DocTypeList,0)))</f>
        <v/>
      </c>
      <c r="J111" s="37" t="str">
        <f aca="false">IF($D111="","",IF($F111="Yes",INDEX(Doc_Types!$E$2:$E$77,MATCH($D111,DocTypeList,0)),IF(LEFT($H111,6)="REVIEW","Type is 'Depends' — classification is decided by content; paste the scope text to resolve.",IF($H111="YES","Type default is '"&amp;$F111&amp;"' but the text contains "&amp;$G111&amp;" controlled technical term(s) — classification follows content (Wassenaar ML22 technology).",INDEX(Doc_Types!$E$2:$E$77,MATCH($D111,DocTypeList,0))&amp;" Text scan: "&amp;$G111&amp;" controlled term(s), below threshold."))))</f>
        <v/>
      </c>
      <c r="K111" s="51" t="str">
        <f aca="false">IF($H111="YES","EXPORT CONTROLLED",IF($H111="NO","NOT EXPORT CONTROLLED",IF($D111="","","— pending review —")))</f>
        <v/>
      </c>
    </row>
    <row r="112" customFormat="false" ht="30" hidden="false" customHeight="true" outlineLevel="0" collapsed="false">
      <c r="A112" s="48" t="n">
        <v>105</v>
      </c>
      <c r="B112" s="25"/>
      <c r="C112" s="25"/>
      <c r="D112" s="25"/>
      <c r="E112" s="25"/>
      <c r="F112" s="50" t="str">
        <f aca="false">IF($D112="","",INDEX(Doc_Types!$C$2:$C$77,MATCH($D112,DocTypeList,0)))</f>
        <v/>
      </c>
      <c r="G112" s="32" t="str">
        <f aca="false">IF($D112="","",IF($E112="",0,SUMPRODUCT(--ISNUMBER(SEARCH(Keywords!$A$2:$A$136,$E112)),--(Keywords!$A$2:$A$136&lt;&gt;""))))</f>
        <v/>
      </c>
      <c r="H112" s="51" t="str">
        <f aca="false">IF($D112="","",IF($F112="Yes","YES",IF(AND($F112="Depends",$E112=""),"REVIEW — add scope text",IF($F112="Depends",IF($G112&gt;=Classify!$C$40,"YES","NO"),IF($G112&gt;=Classify!$C$41,"YES","NO")))))</f>
        <v/>
      </c>
      <c r="I112" s="12" t="str">
        <f aca="false">IF($D112="","",INDEX(Doc_Types!$D$2:$D$77,MATCH($D112,DocTypeList,0)))</f>
        <v/>
      </c>
      <c r="J112" s="37" t="str">
        <f aca="false">IF($D112="","",IF($F112="Yes",INDEX(Doc_Types!$E$2:$E$77,MATCH($D112,DocTypeList,0)),IF(LEFT($H112,6)="REVIEW","Type is 'Depends' — classification is decided by content; paste the scope text to resolve.",IF($H112="YES","Type default is '"&amp;$F112&amp;"' but the text contains "&amp;$G112&amp;" controlled technical term(s) — classification follows content (Wassenaar ML22 technology).",INDEX(Doc_Types!$E$2:$E$77,MATCH($D112,DocTypeList,0))&amp;" Text scan: "&amp;$G112&amp;" controlled term(s), below threshold."))))</f>
        <v/>
      </c>
      <c r="K112" s="51" t="str">
        <f aca="false">IF($H112="YES","EXPORT CONTROLLED",IF($H112="NO","NOT EXPORT CONTROLLED",IF($D112="","","— pending review —")))</f>
        <v/>
      </c>
    </row>
    <row r="113" customFormat="false" ht="30" hidden="false" customHeight="true" outlineLevel="0" collapsed="false">
      <c r="A113" s="48" t="n">
        <v>106</v>
      </c>
      <c r="B113" s="25"/>
      <c r="C113" s="25"/>
      <c r="D113" s="25"/>
      <c r="E113" s="25"/>
      <c r="F113" s="50" t="str">
        <f aca="false">IF($D113="","",INDEX(Doc_Types!$C$2:$C$77,MATCH($D113,DocTypeList,0)))</f>
        <v/>
      </c>
      <c r="G113" s="32" t="str">
        <f aca="false">IF($D113="","",IF($E113="",0,SUMPRODUCT(--ISNUMBER(SEARCH(Keywords!$A$2:$A$136,$E113)),--(Keywords!$A$2:$A$136&lt;&gt;""))))</f>
        <v/>
      </c>
      <c r="H113" s="51" t="str">
        <f aca="false">IF($D113="","",IF($F113="Yes","YES",IF(AND($F113="Depends",$E113=""),"REVIEW — add scope text",IF($F113="Depends",IF($G113&gt;=Classify!$C$40,"YES","NO"),IF($G113&gt;=Classify!$C$41,"YES","NO")))))</f>
        <v/>
      </c>
      <c r="I113" s="12" t="str">
        <f aca="false">IF($D113="","",INDEX(Doc_Types!$D$2:$D$77,MATCH($D113,DocTypeList,0)))</f>
        <v/>
      </c>
      <c r="J113" s="37" t="str">
        <f aca="false">IF($D113="","",IF($F113="Yes",INDEX(Doc_Types!$E$2:$E$77,MATCH($D113,DocTypeList,0)),IF(LEFT($H113,6)="REVIEW","Type is 'Depends' — classification is decided by content; paste the scope text to resolve.",IF($H113="YES","Type default is '"&amp;$F113&amp;"' but the text contains "&amp;$G113&amp;" controlled technical term(s) — classification follows content (Wassenaar ML22 technology).",INDEX(Doc_Types!$E$2:$E$77,MATCH($D113,DocTypeList,0))&amp;" Text scan: "&amp;$G113&amp;" controlled term(s), below threshold."))))</f>
        <v/>
      </c>
      <c r="K113" s="51" t="str">
        <f aca="false">IF($H113="YES","EXPORT CONTROLLED",IF($H113="NO","NOT EXPORT CONTROLLED",IF($D113="","","— pending review —")))</f>
        <v/>
      </c>
    </row>
    <row r="114" customFormat="false" ht="30" hidden="false" customHeight="true" outlineLevel="0" collapsed="false">
      <c r="A114" s="48" t="n">
        <v>107</v>
      </c>
      <c r="B114" s="25"/>
      <c r="C114" s="25"/>
      <c r="D114" s="25"/>
      <c r="E114" s="25"/>
      <c r="F114" s="50" t="str">
        <f aca="false">IF($D114="","",INDEX(Doc_Types!$C$2:$C$77,MATCH($D114,DocTypeList,0)))</f>
        <v/>
      </c>
      <c r="G114" s="32" t="str">
        <f aca="false">IF($D114="","",IF($E114="",0,SUMPRODUCT(--ISNUMBER(SEARCH(Keywords!$A$2:$A$136,$E114)),--(Keywords!$A$2:$A$136&lt;&gt;""))))</f>
        <v/>
      </c>
      <c r="H114" s="51" t="str">
        <f aca="false">IF($D114="","",IF($F114="Yes","YES",IF(AND($F114="Depends",$E114=""),"REVIEW — add scope text",IF($F114="Depends",IF($G114&gt;=Classify!$C$40,"YES","NO"),IF($G114&gt;=Classify!$C$41,"YES","NO")))))</f>
        <v/>
      </c>
      <c r="I114" s="12" t="str">
        <f aca="false">IF($D114="","",INDEX(Doc_Types!$D$2:$D$77,MATCH($D114,DocTypeList,0)))</f>
        <v/>
      </c>
      <c r="J114" s="37" t="str">
        <f aca="false">IF($D114="","",IF($F114="Yes",INDEX(Doc_Types!$E$2:$E$77,MATCH($D114,DocTypeList,0)),IF(LEFT($H114,6)="REVIEW","Type is 'Depends' — classification is decided by content; paste the scope text to resolve.",IF($H114="YES","Type default is '"&amp;$F114&amp;"' but the text contains "&amp;$G114&amp;" controlled technical term(s) — classification follows content (Wassenaar ML22 technology).",INDEX(Doc_Types!$E$2:$E$77,MATCH($D114,DocTypeList,0))&amp;" Text scan: "&amp;$G114&amp;" controlled term(s), below threshold."))))</f>
        <v/>
      </c>
      <c r="K114" s="51" t="str">
        <f aca="false">IF($H114="YES","EXPORT CONTROLLED",IF($H114="NO","NOT EXPORT CONTROLLED",IF($D114="","","— pending review —")))</f>
        <v/>
      </c>
    </row>
    <row r="115" customFormat="false" ht="30" hidden="false" customHeight="true" outlineLevel="0" collapsed="false">
      <c r="A115" s="48" t="n">
        <v>108</v>
      </c>
      <c r="B115" s="25"/>
      <c r="C115" s="25"/>
      <c r="D115" s="25"/>
      <c r="E115" s="25"/>
      <c r="F115" s="50" t="str">
        <f aca="false">IF($D115="","",INDEX(Doc_Types!$C$2:$C$77,MATCH($D115,DocTypeList,0)))</f>
        <v/>
      </c>
      <c r="G115" s="32" t="str">
        <f aca="false">IF($D115="","",IF($E115="",0,SUMPRODUCT(--ISNUMBER(SEARCH(Keywords!$A$2:$A$136,$E115)),--(Keywords!$A$2:$A$136&lt;&gt;""))))</f>
        <v/>
      </c>
      <c r="H115" s="51" t="str">
        <f aca="false">IF($D115="","",IF($F115="Yes","YES",IF(AND($F115="Depends",$E115=""),"REVIEW — add scope text",IF($F115="Depends",IF($G115&gt;=Classify!$C$40,"YES","NO"),IF($G115&gt;=Classify!$C$41,"YES","NO")))))</f>
        <v/>
      </c>
      <c r="I115" s="12" t="str">
        <f aca="false">IF($D115="","",INDEX(Doc_Types!$D$2:$D$77,MATCH($D115,DocTypeList,0)))</f>
        <v/>
      </c>
      <c r="J115" s="37" t="str">
        <f aca="false">IF($D115="","",IF($F115="Yes",INDEX(Doc_Types!$E$2:$E$77,MATCH($D115,DocTypeList,0)),IF(LEFT($H115,6)="REVIEW","Type is 'Depends' — classification is decided by content; paste the scope text to resolve.",IF($H115="YES","Type default is '"&amp;$F115&amp;"' but the text contains "&amp;$G115&amp;" controlled technical term(s) — classification follows content (Wassenaar ML22 technology).",INDEX(Doc_Types!$E$2:$E$77,MATCH($D115,DocTypeList,0))&amp;" Text scan: "&amp;$G115&amp;" controlled term(s), below threshold."))))</f>
        <v/>
      </c>
      <c r="K115" s="51" t="str">
        <f aca="false">IF($H115="YES","EXPORT CONTROLLED",IF($H115="NO","NOT EXPORT CONTROLLED",IF($D115="","","— pending review —")))</f>
        <v/>
      </c>
    </row>
    <row r="116" customFormat="false" ht="30" hidden="false" customHeight="true" outlineLevel="0" collapsed="false">
      <c r="A116" s="48" t="n">
        <v>109</v>
      </c>
      <c r="B116" s="25"/>
      <c r="C116" s="25"/>
      <c r="D116" s="25"/>
      <c r="E116" s="25"/>
      <c r="F116" s="50" t="str">
        <f aca="false">IF($D116="","",INDEX(Doc_Types!$C$2:$C$77,MATCH($D116,DocTypeList,0)))</f>
        <v/>
      </c>
      <c r="G116" s="32" t="str">
        <f aca="false">IF($D116="","",IF($E116="",0,SUMPRODUCT(--ISNUMBER(SEARCH(Keywords!$A$2:$A$136,$E116)),--(Keywords!$A$2:$A$136&lt;&gt;""))))</f>
        <v/>
      </c>
      <c r="H116" s="51" t="str">
        <f aca="false">IF($D116="","",IF($F116="Yes","YES",IF(AND($F116="Depends",$E116=""),"REVIEW — add scope text",IF($F116="Depends",IF($G116&gt;=Classify!$C$40,"YES","NO"),IF($G116&gt;=Classify!$C$41,"YES","NO")))))</f>
        <v/>
      </c>
      <c r="I116" s="12" t="str">
        <f aca="false">IF($D116="","",INDEX(Doc_Types!$D$2:$D$77,MATCH($D116,DocTypeList,0)))</f>
        <v/>
      </c>
      <c r="J116" s="37" t="str">
        <f aca="false">IF($D116="","",IF($F116="Yes",INDEX(Doc_Types!$E$2:$E$77,MATCH($D116,DocTypeList,0)),IF(LEFT($H116,6)="REVIEW","Type is 'Depends' — classification is decided by content; paste the scope text to resolve.",IF($H116="YES","Type default is '"&amp;$F116&amp;"' but the text contains "&amp;$G116&amp;" controlled technical term(s) — classification follows content (Wassenaar ML22 technology).",INDEX(Doc_Types!$E$2:$E$77,MATCH($D116,DocTypeList,0))&amp;" Text scan: "&amp;$G116&amp;" controlled term(s), below threshold."))))</f>
        <v/>
      </c>
      <c r="K116" s="51" t="str">
        <f aca="false">IF($H116="YES","EXPORT CONTROLLED",IF($H116="NO","NOT EXPORT CONTROLLED",IF($D116="","","— pending review —")))</f>
        <v/>
      </c>
    </row>
    <row r="117" customFormat="false" ht="30" hidden="false" customHeight="true" outlineLevel="0" collapsed="false">
      <c r="A117" s="48" t="n">
        <v>110</v>
      </c>
      <c r="B117" s="25"/>
      <c r="C117" s="25"/>
      <c r="D117" s="25"/>
      <c r="E117" s="25"/>
      <c r="F117" s="50" t="str">
        <f aca="false">IF($D117="","",INDEX(Doc_Types!$C$2:$C$77,MATCH($D117,DocTypeList,0)))</f>
        <v/>
      </c>
      <c r="G117" s="32" t="str">
        <f aca="false">IF($D117="","",IF($E117="",0,SUMPRODUCT(--ISNUMBER(SEARCH(Keywords!$A$2:$A$136,$E117)),--(Keywords!$A$2:$A$136&lt;&gt;""))))</f>
        <v/>
      </c>
      <c r="H117" s="51" t="str">
        <f aca="false">IF($D117="","",IF($F117="Yes","YES",IF(AND($F117="Depends",$E117=""),"REVIEW — add scope text",IF($F117="Depends",IF($G117&gt;=Classify!$C$40,"YES","NO"),IF($G117&gt;=Classify!$C$41,"YES","NO")))))</f>
        <v/>
      </c>
      <c r="I117" s="12" t="str">
        <f aca="false">IF($D117="","",INDEX(Doc_Types!$D$2:$D$77,MATCH($D117,DocTypeList,0)))</f>
        <v/>
      </c>
      <c r="J117" s="37" t="str">
        <f aca="false">IF($D117="","",IF($F117="Yes",INDEX(Doc_Types!$E$2:$E$77,MATCH($D117,DocTypeList,0)),IF(LEFT($H117,6)="REVIEW","Type is 'Depends' — classification is decided by content; paste the scope text to resolve.",IF($H117="YES","Type default is '"&amp;$F117&amp;"' but the text contains "&amp;$G117&amp;" controlled technical term(s) — classification follows content (Wassenaar ML22 technology).",INDEX(Doc_Types!$E$2:$E$77,MATCH($D117,DocTypeList,0))&amp;" Text scan: "&amp;$G117&amp;" controlled term(s), below threshold."))))</f>
        <v/>
      </c>
      <c r="K117" s="51" t="str">
        <f aca="false">IF($H117="YES","EXPORT CONTROLLED",IF($H117="NO","NOT EXPORT CONTROLLED",IF($D117="","","— pending review —")))</f>
        <v/>
      </c>
    </row>
    <row r="118" customFormat="false" ht="30" hidden="false" customHeight="true" outlineLevel="0" collapsed="false">
      <c r="A118" s="48" t="n">
        <v>111</v>
      </c>
      <c r="B118" s="25"/>
      <c r="C118" s="25"/>
      <c r="D118" s="25"/>
      <c r="E118" s="25"/>
      <c r="F118" s="50" t="str">
        <f aca="false">IF($D118="","",INDEX(Doc_Types!$C$2:$C$77,MATCH($D118,DocTypeList,0)))</f>
        <v/>
      </c>
      <c r="G118" s="32" t="str">
        <f aca="false">IF($D118="","",IF($E118="",0,SUMPRODUCT(--ISNUMBER(SEARCH(Keywords!$A$2:$A$136,$E118)),--(Keywords!$A$2:$A$136&lt;&gt;""))))</f>
        <v/>
      </c>
      <c r="H118" s="51" t="str">
        <f aca="false">IF($D118="","",IF($F118="Yes","YES",IF(AND($F118="Depends",$E118=""),"REVIEW — add scope text",IF($F118="Depends",IF($G118&gt;=Classify!$C$40,"YES","NO"),IF($G118&gt;=Classify!$C$41,"YES","NO")))))</f>
        <v/>
      </c>
      <c r="I118" s="12" t="str">
        <f aca="false">IF($D118="","",INDEX(Doc_Types!$D$2:$D$77,MATCH($D118,DocTypeList,0)))</f>
        <v/>
      </c>
      <c r="J118" s="37" t="str">
        <f aca="false">IF($D118="","",IF($F118="Yes",INDEX(Doc_Types!$E$2:$E$77,MATCH($D118,DocTypeList,0)),IF(LEFT($H118,6)="REVIEW","Type is 'Depends' — classification is decided by content; paste the scope text to resolve.",IF($H118="YES","Type default is '"&amp;$F118&amp;"' but the text contains "&amp;$G118&amp;" controlled technical term(s) — classification follows content (Wassenaar ML22 technology).",INDEX(Doc_Types!$E$2:$E$77,MATCH($D118,DocTypeList,0))&amp;" Text scan: "&amp;$G118&amp;" controlled term(s), below threshold."))))</f>
        <v/>
      </c>
      <c r="K118" s="51" t="str">
        <f aca="false">IF($H118="YES","EXPORT CONTROLLED",IF($H118="NO","NOT EXPORT CONTROLLED",IF($D118="","","— pending review —")))</f>
        <v/>
      </c>
    </row>
    <row r="119" customFormat="false" ht="30" hidden="false" customHeight="true" outlineLevel="0" collapsed="false">
      <c r="A119" s="48" t="n">
        <v>112</v>
      </c>
      <c r="B119" s="25"/>
      <c r="C119" s="25"/>
      <c r="D119" s="25"/>
      <c r="E119" s="25"/>
      <c r="F119" s="50" t="str">
        <f aca="false">IF($D119="","",INDEX(Doc_Types!$C$2:$C$77,MATCH($D119,DocTypeList,0)))</f>
        <v/>
      </c>
      <c r="G119" s="32" t="str">
        <f aca="false">IF($D119="","",IF($E119="",0,SUMPRODUCT(--ISNUMBER(SEARCH(Keywords!$A$2:$A$136,$E119)),--(Keywords!$A$2:$A$136&lt;&gt;""))))</f>
        <v/>
      </c>
      <c r="H119" s="51" t="str">
        <f aca="false">IF($D119="","",IF($F119="Yes","YES",IF(AND($F119="Depends",$E119=""),"REVIEW — add scope text",IF($F119="Depends",IF($G119&gt;=Classify!$C$40,"YES","NO"),IF($G119&gt;=Classify!$C$41,"YES","NO")))))</f>
        <v/>
      </c>
      <c r="I119" s="12" t="str">
        <f aca="false">IF($D119="","",INDEX(Doc_Types!$D$2:$D$77,MATCH($D119,DocTypeList,0)))</f>
        <v/>
      </c>
      <c r="J119" s="37" t="str">
        <f aca="false">IF($D119="","",IF($F119="Yes",INDEX(Doc_Types!$E$2:$E$77,MATCH($D119,DocTypeList,0)),IF(LEFT($H119,6)="REVIEW","Type is 'Depends' — classification is decided by content; paste the scope text to resolve.",IF($H119="YES","Type default is '"&amp;$F119&amp;"' but the text contains "&amp;$G119&amp;" controlled technical term(s) — classification follows content (Wassenaar ML22 technology).",INDEX(Doc_Types!$E$2:$E$77,MATCH($D119,DocTypeList,0))&amp;" Text scan: "&amp;$G119&amp;" controlled term(s), below threshold."))))</f>
        <v/>
      </c>
      <c r="K119" s="51" t="str">
        <f aca="false">IF($H119="YES","EXPORT CONTROLLED",IF($H119="NO","NOT EXPORT CONTROLLED",IF($D119="","","— pending review —")))</f>
        <v/>
      </c>
    </row>
    <row r="120" customFormat="false" ht="30" hidden="false" customHeight="true" outlineLevel="0" collapsed="false">
      <c r="A120" s="48" t="n">
        <v>113</v>
      </c>
      <c r="B120" s="25"/>
      <c r="C120" s="25"/>
      <c r="D120" s="25"/>
      <c r="E120" s="25"/>
      <c r="F120" s="50" t="str">
        <f aca="false">IF($D120="","",INDEX(Doc_Types!$C$2:$C$77,MATCH($D120,DocTypeList,0)))</f>
        <v/>
      </c>
      <c r="G120" s="32" t="str">
        <f aca="false">IF($D120="","",IF($E120="",0,SUMPRODUCT(--ISNUMBER(SEARCH(Keywords!$A$2:$A$136,$E120)),--(Keywords!$A$2:$A$136&lt;&gt;""))))</f>
        <v/>
      </c>
      <c r="H120" s="51" t="str">
        <f aca="false">IF($D120="","",IF($F120="Yes","YES",IF(AND($F120="Depends",$E120=""),"REVIEW — add scope text",IF($F120="Depends",IF($G120&gt;=Classify!$C$40,"YES","NO"),IF($G120&gt;=Classify!$C$41,"YES","NO")))))</f>
        <v/>
      </c>
      <c r="I120" s="12" t="str">
        <f aca="false">IF($D120="","",INDEX(Doc_Types!$D$2:$D$77,MATCH($D120,DocTypeList,0)))</f>
        <v/>
      </c>
      <c r="J120" s="37" t="str">
        <f aca="false">IF($D120="","",IF($F120="Yes",INDEX(Doc_Types!$E$2:$E$77,MATCH($D120,DocTypeList,0)),IF(LEFT($H120,6)="REVIEW","Type is 'Depends' — classification is decided by content; paste the scope text to resolve.",IF($H120="YES","Type default is '"&amp;$F120&amp;"' but the text contains "&amp;$G120&amp;" controlled technical term(s) — classification follows content (Wassenaar ML22 technology).",INDEX(Doc_Types!$E$2:$E$77,MATCH($D120,DocTypeList,0))&amp;" Text scan: "&amp;$G120&amp;" controlled term(s), below threshold."))))</f>
        <v/>
      </c>
      <c r="K120" s="51" t="str">
        <f aca="false">IF($H120="YES","EXPORT CONTROLLED",IF($H120="NO","NOT EXPORT CONTROLLED",IF($D120="","","— pending review —")))</f>
        <v/>
      </c>
    </row>
    <row r="121" customFormat="false" ht="30" hidden="false" customHeight="true" outlineLevel="0" collapsed="false">
      <c r="A121" s="48" t="n">
        <v>114</v>
      </c>
      <c r="B121" s="25"/>
      <c r="C121" s="25"/>
      <c r="D121" s="25"/>
      <c r="E121" s="25"/>
      <c r="F121" s="50" t="str">
        <f aca="false">IF($D121="","",INDEX(Doc_Types!$C$2:$C$77,MATCH($D121,DocTypeList,0)))</f>
        <v/>
      </c>
      <c r="G121" s="32" t="str">
        <f aca="false">IF($D121="","",IF($E121="",0,SUMPRODUCT(--ISNUMBER(SEARCH(Keywords!$A$2:$A$136,$E121)),--(Keywords!$A$2:$A$136&lt;&gt;""))))</f>
        <v/>
      </c>
      <c r="H121" s="51" t="str">
        <f aca="false">IF($D121="","",IF($F121="Yes","YES",IF(AND($F121="Depends",$E121=""),"REVIEW — add scope text",IF($F121="Depends",IF($G121&gt;=Classify!$C$40,"YES","NO"),IF($G121&gt;=Classify!$C$41,"YES","NO")))))</f>
        <v/>
      </c>
      <c r="I121" s="12" t="str">
        <f aca="false">IF($D121="","",INDEX(Doc_Types!$D$2:$D$77,MATCH($D121,DocTypeList,0)))</f>
        <v/>
      </c>
      <c r="J121" s="37" t="str">
        <f aca="false">IF($D121="","",IF($F121="Yes",INDEX(Doc_Types!$E$2:$E$77,MATCH($D121,DocTypeList,0)),IF(LEFT($H121,6)="REVIEW","Type is 'Depends' — classification is decided by content; paste the scope text to resolve.",IF($H121="YES","Type default is '"&amp;$F121&amp;"' but the text contains "&amp;$G121&amp;" controlled technical term(s) — classification follows content (Wassenaar ML22 technology).",INDEX(Doc_Types!$E$2:$E$77,MATCH($D121,DocTypeList,0))&amp;" Text scan: "&amp;$G121&amp;" controlled term(s), below threshold."))))</f>
        <v/>
      </c>
      <c r="K121" s="51" t="str">
        <f aca="false">IF($H121="YES","EXPORT CONTROLLED",IF($H121="NO","NOT EXPORT CONTROLLED",IF($D121="","","— pending review —")))</f>
        <v/>
      </c>
    </row>
    <row r="122" customFormat="false" ht="30" hidden="false" customHeight="true" outlineLevel="0" collapsed="false">
      <c r="A122" s="48" t="n">
        <v>115</v>
      </c>
      <c r="B122" s="25"/>
      <c r="C122" s="25"/>
      <c r="D122" s="25"/>
      <c r="E122" s="25"/>
      <c r="F122" s="50" t="str">
        <f aca="false">IF($D122="","",INDEX(Doc_Types!$C$2:$C$77,MATCH($D122,DocTypeList,0)))</f>
        <v/>
      </c>
      <c r="G122" s="32" t="str">
        <f aca="false">IF($D122="","",IF($E122="",0,SUMPRODUCT(--ISNUMBER(SEARCH(Keywords!$A$2:$A$136,$E122)),--(Keywords!$A$2:$A$136&lt;&gt;""))))</f>
        <v/>
      </c>
      <c r="H122" s="51" t="str">
        <f aca="false">IF($D122="","",IF($F122="Yes","YES",IF(AND($F122="Depends",$E122=""),"REVIEW — add scope text",IF($F122="Depends",IF($G122&gt;=Classify!$C$40,"YES","NO"),IF($G122&gt;=Classify!$C$41,"YES","NO")))))</f>
        <v/>
      </c>
      <c r="I122" s="12" t="str">
        <f aca="false">IF($D122="","",INDEX(Doc_Types!$D$2:$D$77,MATCH($D122,DocTypeList,0)))</f>
        <v/>
      </c>
      <c r="J122" s="37" t="str">
        <f aca="false">IF($D122="","",IF($F122="Yes",INDEX(Doc_Types!$E$2:$E$77,MATCH($D122,DocTypeList,0)),IF(LEFT($H122,6)="REVIEW","Type is 'Depends' — classification is decided by content; paste the scope text to resolve.",IF($H122="YES","Type default is '"&amp;$F122&amp;"' but the text contains "&amp;$G122&amp;" controlled technical term(s) — classification follows content (Wassenaar ML22 technology).",INDEX(Doc_Types!$E$2:$E$77,MATCH($D122,DocTypeList,0))&amp;" Text scan: "&amp;$G122&amp;" controlled term(s), below threshold."))))</f>
        <v/>
      </c>
      <c r="K122" s="51" t="str">
        <f aca="false">IF($H122="YES","EXPORT CONTROLLED",IF($H122="NO","NOT EXPORT CONTROLLED",IF($D122="","","— pending review —")))</f>
        <v/>
      </c>
    </row>
    <row r="123" customFormat="false" ht="30" hidden="false" customHeight="true" outlineLevel="0" collapsed="false">
      <c r="A123" s="48" t="n">
        <v>116</v>
      </c>
      <c r="B123" s="25"/>
      <c r="C123" s="25"/>
      <c r="D123" s="25"/>
      <c r="E123" s="25"/>
      <c r="F123" s="50" t="str">
        <f aca="false">IF($D123="","",INDEX(Doc_Types!$C$2:$C$77,MATCH($D123,DocTypeList,0)))</f>
        <v/>
      </c>
      <c r="G123" s="32" t="str">
        <f aca="false">IF($D123="","",IF($E123="",0,SUMPRODUCT(--ISNUMBER(SEARCH(Keywords!$A$2:$A$136,$E123)),--(Keywords!$A$2:$A$136&lt;&gt;""))))</f>
        <v/>
      </c>
      <c r="H123" s="51" t="str">
        <f aca="false">IF($D123="","",IF($F123="Yes","YES",IF(AND($F123="Depends",$E123=""),"REVIEW — add scope text",IF($F123="Depends",IF($G123&gt;=Classify!$C$40,"YES","NO"),IF($G123&gt;=Classify!$C$41,"YES","NO")))))</f>
        <v/>
      </c>
      <c r="I123" s="12" t="str">
        <f aca="false">IF($D123="","",INDEX(Doc_Types!$D$2:$D$77,MATCH($D123,DocTypeList,0)))</f>
        <v/>
      </c>
      <c r="J123" s="37" t="str">
        <f aca="false">IF($D123="","",IF($F123="Yes",INDEX(Doc_Types!$E$2:$E$77,MATCH($D123,DocTypeList,0)),IF(LEFT($H123,6)="REVIEW","Type is 'Depends' — classification is decided by content; paste the scope text to resolve.",IF($H123="YES","Type default is '"&amp;$F123&amp;"' but the text contains "&amp;$G123&amp;" controlled technical term(s) — classification follows content (Wassenaar ML22 technology).",INDEX(Doc_Types!$E$2:$E$77,MATCH($D123,DocTypeList,0))&amp;" Text scan: "&amp;$G123&amp;" controlled term(s), below threshold."))))</f>
        <v/>
      </c>
      <c r="K123" s="51" t="str">
        <f aca="false">IF($H123="YES","EXPORT CONTROLLED",IF($H123="NO","NOT EXPORT CONTROLLED",IF($D123="","","— pending review —")))</f>
        <v/>
      </c>
    </row>
    <row r="124" customFormat="false" ht="30" hidden="false" customHeight="true" outlineLevel="0" collapsed="false">
      <c r="A124" s="48" t="n">
        <v>117</v>
      </c>
      <c r="B124" s="25"/>
      <c r="C124" s="25"/>
      <c r="D124" s="25"/>
      <c r="E124" s="25"/>
      <c r="F124" s="50" t="str">
        <f aca="false">IF($D124="","",INDEX(Doc_Types!$C$2:$C$77,MATCH($D124,DocTypeList,0)))</f>
        <v/>
      </c>
      <c r="G124" s="32" t="str">
        <f aca="false">IF($D124="","",IF($E124="",0,SUMPRODUCT(--ISNUMBER(SEARCH(Keywords!$A$2:$A$136,$E124)),--(Keywords!$A$2:$A$136&lt;&gt;""))))</f>
        <v/>
      </c>
      <c r="H124" s="51" t="str">
        <f aca="false">IF($D124="","",IF($F124="Yes","YES",IF(AND($F124="Depends",$E124=""),"REVIEW — add scope text",IF($F124="Depends",IF($G124&gt;=Classify!$C$40,"YES","NO"),IF($G124&gt;=Classify!$C$41,"YES","NO")))))</f>
        <v/>
      </c>
      <c r="I124" s="12" t="str">
        <f aca="false">IF($D124="","",INDEX(Doc_Types!$D$2:$D$77,MATCH($D124,DocTypeList,0)))</f>
        <v/>
      </c>
      <c r="J124" s="37" t="str">
        <f aca="false">IF($D124="","",IF($F124="Yes",INDEX(Doc_Types!$E$2:$E$77,MATCH($D124,DocTypeList,0)),IF(LEFT($H124,6)="REVIEW","Type is 'Depends' — classification is decided by content; paste the scope text to resolve.",IF($H124="YES","Type default is '"&amp;$F124&amp;"' but the text contains "&amp;$G124&amp;" controlled technical term(s) — classification follows content (Wassenaar ML22 technology).",INDEX(Doc_Types!$E$2:$E$77,MATCH($D124,DocTypeList,0))&amp;" Text scan: "&amp;$G124&amp;" controlled term(s), below threshold."))))</f>
        <v/>
      </c>
      <c r="K124" s="51" t="str">
        <f aca="false">IF($H124="YES","EXPORT CONTROLLED",IF($H124="NO","NOT EXPORT CONTROLLED",IF($D124="","","— pending review —")))</f>
        <v/>
      </c>
    </row>
    <row r="125" customFormat="false" ht="30" hidden="false" customHeight="true" outlineLevel="0" collapsed="false">
      <c r="A125" s="48" t="n">
        <v>118</v>
      </c>
      <c r="B125" s="25"/>
      <c r="C125" s="25"/>
      <c r="D125" s="25"/>
      <c r="E125" s="25"/>
      <c r="F125" s="50" t="str">
        <f aca="false">IF($D125="","",INDEX(Doc_Types!$C$2:$C$77,MATCH($D125,DocTypeList,0)))</f>
        <v/>
      </c>
      <c r="G125" s="32" t="str">
        <f aca="false">IF($D125="","",IF($E125="",0,SUMPRODUCT(--ISNUMBER(SEARCH(Keywords!$A$2:$A$136,$E125)),--(Keywords!$A$2:$A$136&lt;&gt;""))))</f>
        <v/>
      </c>
      <c r="H125" s="51" t="str">
        <f aca="false">IF($D125="","",IF($F125="Yes","YES",IF(AND($F125="Depends",$E125=""),"REVIEW — add scope text",IF($F125="Depends",IF($G125&gt;=Classify!$C$40,"YES","NO"),IF($G125&gt;=Classify!$C$41,"YES","NO")))))</f>
        <v/>
      </c>
      <c r="I125" s="12" t="str">
        <f aca="false">IF($D125="","",INDEX(Doc_Types!$D$2:$D$77,MATCH($D125,DocTypeList,0)))</f>
        <v/>
      </c>
      <c r="J125" s="37" t="str">
        <f aca="false">IF($D125="","",IF($F125="Yes",INDEX(Doc_Types!$E$2:$E$77,MATCH($D125,DocTypeList,0)),IF(LEFT($H125,6)="REVIEW","Type is 'Depends' — classification is decided by content; paste the scope text to resolve.",IF($H125="YES","Type default is '"&amp;$F125&amp;"' but the text contains "&amp;$G125&amp;" controlled technical term(s) — classification follows content (Wassenaar ML22 technology).",INDEX(Doc_Types!$E$2:$E$77,MATCH($D125,DocTypeList,0))&amp;" Text scan: "&amp;$G125&amp;" controlled term(s), below threshold."))))</f>
        <v/>
      </c>
      <c r="K125" s="51" t="str">
        <f aca="false">IF($H125="YES","EXPORT CONTROLLED",IF($H125="NO","NOT EXPORT CONTROLLED",IF($D125="","","— pending review —")))</f>
        <v/>
      </c>
    </row>
    <row r="126" customFormat="false" ht="30" hidden="false" customHeight="true" outlineLevel="0" collapsed="false">
      <c r="A126" s="48" t="n">
        <v>119</v>
      </c>
      <c r="B126" s="25"/>
      <c r="C126" s="25"/>
      <c r="D126" s="25"/>
      <c r="E126" s="25"/>
      <c r="F126" s="50" t="str">
        <f aca="false">IF($D126="","",INDEX(Doc_Types!$C$2:$C$77,MATCH($D126,DocTypeList,0)))</f>
        <v/>
      </c>
      <c r="G126" s="32" t="str">
        <f aca="false">IF($D126="","",IF($E126="",0,SUMPRODUCT(--ISNUMBER(SEARCH(Keywords!$A$2:$A$136,$E126)),--(Keywords!$A$2:$A$136&lt;&gt;""))))</f>
        <v/>
      </c>
      <c r="H126" s="51" t="str">
        <f aca="false">IF($D126="","",IF($F126="Yes","YES",IF(AND($F126="Depends",$E126=""),"REVIEW — add scope text",IF($F126="Depends",IF($G126&gt;=Classify!$C$40,"YES","NO"),IF($G126&gt;=Classify!$C$41,"YES","NO")))))</f>
        <v/>
      </c>
      <c r="I126" s="12" t="str">
        <f aca="false">IF($D126="","",INDEX(Doc_Types!$D$2:$D$77,MATCH($D126,DocTypeList,0)))</f>
        <v/>
      </c>
      <c r="J126" s="37" t="str">
        <f aca="false">IF($D126="","",IF($F126="Yes",INDEX(Doc_Types!$E$2:$E$77,MATCH($D126,DocTypeList,0)),IF(LEFT($H126,6)="REVIEW","Type is 'Depends' — classification is decided by content; paste the scope text to resolve.",IF($H126="YES","Type default is '"&amp;$F126&amp;"' but the text contains "&amp;$G126&amp;" controlled technical term(s) — classification follows content (Wassenaar ML22 technology).",INDEX(Doc_Types!$E$2:$E$77,MATCH($D126,DocTypeList,0))&amp;" Text scan: "&amp;$G126&amp;" controlled term(s), below threshold."))))</f>
        <v/>
      </c>
      <c r="K126" s="51" t="str">
        <f aca="false">IF($H126="YES","EXPORT CONTROLLED",IF($H126="NO","NOT EXPORT CONTROLLED",IF($D126="","","— pending review —")))</f>
        <v/>
      </c>
    </row>
    <row r="127" customFormat="false" ht="30" hidden="false" customHeight="true" outlineLevel="0" collapsed="false">
      <c r="A127" s="48" t="n">
        <v>120</v>
      </c>
      <c r="B127" s="25"/>
      <c r="C127" s="25"/>
      <c r="D127" s="25"/>
      <c r="E127" s="25"/>
      <c r="F127" s="50" t="str">
        <f aca="false">IF($D127="","",INDEX(Doc_Types!$C$2:$C$77,MATCH($D127,DocTypeList,0)))</f>
        <v/>
      </c>
      <c r="G127" s="32" t="str">
        <f aca="false">IF($D127="","",IF($E127="",0,SUMPRODUCT(--ISNUMBER(SEARCH(Keywords!$A$2:$A$136,$E127)),--(Keywords!$A$2:$A$136&lt;&gt;""))))</f>
        <v/>
      </c>
      <c r="H127" s="51" t="str">
        <f aca="false">IF($D127="","",IF($F127="Yes","YES",IF(AND($F127="Depends",$E127=""),"REVIEW — add scope text",IF($F127="Depends",IF($G127&gt;=Classify!$C$40,"YES","NO"),IF($G127&gt;=Classify!$C$41,"YES","NO")))))</f>
        <v/>
      </c>
      <c r="I127" s="12" t="str">
        <f aca="false">IF($D127="","",INDEX(Doc_Types!$D$2:$D$77,MATCH($D127,DocTypeList,0)))</f>
        <v/>
      </c>
      <c r="J127" s="37" t="str">
        <f aca="false">IF($D127="","",IF($F127="Yes",INDEX(Doc_Types!$E$2:$E$77,MATCH($D127,DocTypeList,0)),IF(LEFT($H127,6)="REVIEW","Type is 'Depends' — classification is decided by content; paste the scope text to resolve.",IF($H127="YES","Type default is '"&amp;$F127&amp;"' but the text contains "&amp;$G127&amp;" controlled technical term(s) — classification follows content (Wassenaar ML22 technology).",INDEX(Doc_Types!$E$2:$E$77,MATCH($D127,DocTypeList,0))&amp;" Text scan: "&amp;$G127&amp;" controlled term(s), below threshold."))))</f>
        <v/>
      </c>
      <c r="K127" s="51" t="str">
        <f aca="false">IF($H127="YES","EXPORT CONTROLLED",IF($H127="NO","NOT EXPORT CONTROLLED",IF($D127="","","— pending review —")))</f>
        <v/>
      </c>
    </row>
    <row r="128" customFormat="false" ht="30" hidden="false" customHeight="true" outlineLevel="0" collapsed="false">
      <c r="A128" s="48" t="n">
        <v>121</v>
      </c>
      <c r="B128" s="25"/>
      <c r="C128" s="25"/>
      <c r="D128" s="25"/>
      <c r="E128" s="25"/>
      <c r="F128" s="50" t="str">
        <f aca="false">IF($D128="","",INDEX(Doc_Types!$C$2:$C$77,MATCH($D128,DocTypeList,0)))</f>
        <v/>
      </c>
      <c r="G128" s="32" t="str">
        <f aca="false">IF($D128="","",IF($E128="",0,SUMPRODUCT(--ISNUMBER(SEARCH(Keywords!$A$2:$A$136,$E128)),--(Keywords!$A$2:$A$136&lt;&gt;""))))</f>
        <v/>
      </c>
      <c r="H128" s="51" t="str">
        <f aca="false">IF($D128="","",IF($F128="Yes","YES",IF(AND($F128="Depends",$E128=""),"REVIEW — add scope text",IF($F128="Depends",IF($G128&gt;=Classify!$C$40,"YES","NO"),IF($G128&gt;=Classify!$C$41,"YES","NO")))))</f>
        <v/>
      </c>
      <c r="I128" s="12" t="str">
        <f aca="false">IF($D128="","",INDEX(Doc_Types!$D$2:$D$77,MATCH($D128,DocTypeList,0)))</f>
        <v/>
      </c>
      <c r="J128" s="37" t="str">
        <f aca="false">IF($D128="","",IF($F128="Yes",INDEX(Doc_Types!$E$2:$E$77,MATCH($D128,DocTypeList,0)),IF(LEFT($H128,6)="REVIEW","Type is 'Depends' — classification is decided by content; paste the scope text to resolve.",IF($H128="YES","Type default is '"&amp;$F128&amp;"' but the text contains "&amp;$G128&amp;" controlled technical term(s) — classification follows content (Wassenaar ML22 technology).",INDEX(Doc_Types!$E$2:$E$77,MATCH($D128,DocTypeList,0))&amp;" Text scan: "&amp;$G128&amp;" controlled term(s), below threshold."))))</f>
        <v/>
      </c>
      <c r="K128" s="51" t="str">
        <f aca="false">IF($H128="YES","EXPORT CONTROLLED",IF($H128="NO","NOT EXPORT CONTROLLED",IF($D128="","","— pending review —")))</f>
        <v/>
      </c>
    </row>
    <row r="129" customFormat="false" ht="30" hidden="false" customHeight="true" outlineLevel="0" collapsed="false">
      <c r="A129" s="48" t="n">
        <v>122</v>
      </c>
      <c r="B129" s="25"/>
      <c r="C129" s="25"/>
      <c r="D129" s="25"/>
      <c r="E129" s="25"/>
      <c r="F129" s="50" t="str">
        <f aca="false">IF($D129="","",INDEX(Doc_Types!$C$2:$C$77,MATCH($D129,DocTypeList,0)))</f>
        <v/>
      </c>
      <c r="G129" s="32" t="str">
        <f aca="false">IF($D129="","",IF($E129="",0,SUMPRODUCT(--ISNUMBER(SEARCH(Keywords!$A$2:$A$136,$E129)),--(Keywords!$A$2:$A$136&lt;&gt;""))))</f>
        <v/>
      </c>
      <c r="H129" s="51" t="str">
        <f aca="false">IF($D129="","",IF($F129="Yes","YES",IF(AND($F129="Depends",$E129=""),"REVIEW — add scope text",IF($F129="Depends",IF($G129&gt;=Classify!$C$40,"YES","NO"),IF($G129&gt;=Classify!$C$41,"YES","NO")))))</f>
        <v/>
      </c>
      <c r="I129" s="12" t="str">
        <f aca="false">IF($D129="","",INDEX(Doc_Types!$D$2:$D$77,MATCH($D129,DocTypeList,0)))</f>
        <v/>
      </c>
      <c r="J129" s="37" t="str">
        <f aca="false">IF($D129="","",IF($F129="Yes",INDEX(Doc_Types!$E$2:$E$77,MATCH($D129,DocTypeList,0)),IF(LEFT($H129,6)="REVIEW","Type is 'Depends' — classification is decided by content; paste the scope text to resolve.",IF($H129="YES","Type default is '"&amp;$F129&amp;"' but the text contains "&amp;$G129&amp;" controlled technical term(s) — classification follows content (Wassenaar ML22 technology).",INDEX(Doc_Types!$E$2:$E$77,MATCH($D129,DocTypeList,0))&amp;" Text scan: "&amp;$G129&amp;" controlled term(s), below threshold."))))</f>
        <v/>
      </c>
      <c r="K129" s="51" t="str">
        <f aca="false">IF($H129="YES","EXPORT CONTROLLED",IF($H129="NO","NOT EXPORT CONTROLLED",IF($D129="","","— pending review —")))</f>
        <v/>
      </c>
    </row>
    <row r="130" customFormat="false" ht="30" hidden="false" customHeight="true" outlineLevel="0" collapsed="false">
      <c r="A130" s="48" t="n">
        <v>123</v>
      </c>
      <c r="B130" s="25"/>
      <c r="C130" s="25"/>
      <c r="D130" s="25"/>
      <c r="E130" s="25"/>
      <c r="F130" s="50" t="str">
        <f aca="false">IF($D130="","",INDEX(Doc_Types!$C$2:$C$77,MATCH($D130,DocTypeList,0)))</f>
        <v/>
      </c>
      <c r="G130" s="32" t="str">
        <f aca="false">IF($D130="","",IF($E130="",0,SUMPRODUCT(--ISNUMBER(SEARCH(Keywords!$A$2:$A$136,$E130)),--(Keywords!$A$2:$A$136&lt;&gt;""))))</f>
        <v/>
      </c>
      <c r="H130" s="51" t="str">
        <f aca="false">IF($D130="","",IF($F130="Yes","YES",IF(AND($F130="Depends",$E130=""),"REVIEW — add scope text",IF($F130="Depends",IF($G130&gt;=Classify!$C$40,"YES","NO"),IF($G130&gt;=Classify!$C$41,"YES","NO")))))</f>
        <v/>
      </c>
      <c r="I130" s="12" t="str">
        <f aca="false">IF($D130="","",INDEX(Doc_Types!$D$2:$D$77,MATCH($D130,DocTypeList,0)))</f>
        <v/>
      </c>
      <c r="J130" s="37" t="str">
        <f aca="false">IF($D130="","",IF($F130="Yes",INDEX(Doc_Types!$E$2:$E$77,MATCH($D130,DocTypeList,0)),IF(LEFT($H130,6)="REVIEW","Type is 'Depends' — classification is decided by content; paste the scope text to resolve.",IF($H130="YES","Type default is '"&amp;$F130&amp;"' but the text contains "&amp;$G130&amp;" controlled technical term(s) — classification follows content (Wassenaar ML22 technology).",INDEX(Doc_Types!$E$2:$E$77,MATCH($D130,DocTypeList,0))&amp;" Text scan: "&amp;$G130&amp;" controlled term(s), below threshold."))))</f>
        <v/>
      </c>
      <c r="K130" s="51" t="str">
        <f aca="false">IF($H130="YES","EXPORT CONTROLLED",IF($H130="NO","NOT EXPORT CONTROLLED",IF($D130="","","— pending review —")))</f>
        <v/>
      </c>
    </row>
    <row r="131" customFormat="false" ht="30" hidden="false" customHeight="true" outlineLevel="0" collapsed="false">
      <c r="A131" s="48" t="n">
        <v>124</v>
      </c>
      <c r="B131" s="25"/>
      <c r="C131" s="25"/>
      <c r="D131" s="25"/>
      <c r="E131" s="25"/>
      <c r="F131" s="50" t="str">
        <f aca="false">IF($D131="","",INDEX(Doc_Types!$C$2:$C$77,MATCH($D131,DocTypeList,0)))</f>
        <v/>
      </c>
      <c r="G131" s="32" t="str">
        <f aca="false">IF($D131="","",IF($E131="",0,SUMPRODUCT(--ISNUMBER(SEARCH(Keywords!$A$2:$A$136,$E131)),--(Keywords!$A$2:$A$136&lt;&gt;""))))</f>
        <v/>
      </c>
      <c r="H131" s="51" t="str">
        <f aca="false">IF($D131="","",IF($F131="Yes","YES",IF(AND($F131="Depends",$E131=""),"REVIEW — add scope text",IF($F131="Depends",IF($G131&gt;=Classify!$C$40,"YES","NO"),IF($G131&gt;=Classify!$C$41,"YES","NO")))))</f>
        <v/>
      </c>
      <c r="I131" s="12" t="str">
        <f aca="false">IF($D131="","",INDEX(Doc_Types!$D$2:$D$77,MATCH($D131,DocTypeList,0)))</f>
        <v/>
      </c>
      <c r="J131" s="37" t="str">
        <f aca="false">IF($D131="","",IF($F131="Yes",INDEX(Doc_Types!$E$2:$E$77,MATCH($D131,DocTypeList,0)),IF(LEFT($H131,6)="REVIEW","Type is 'Depends' — classification is decided by content; paste the scope text to resolve.",IF($H131="YES","Type default is '"&amp;$F131&amp;"' but the text contains "&amp;$G131&amp;" controlled technical term(s) — classification follows content (Wassenaar ML22 technology).",INDEX(Doc_Types!$E$2:$E$77,MATCH($D131,DocTypeList,0))&amp;" Text scan: "&amp;$G131&amp;" controlled term(s), below threshold."))))</f>
        <v/>
      </c>
      <c r="K131" s="51" t="str">
        <f aca="false">IF($H131="YES","EXPORT CONTROLLED",IF($H131="NO","NOT EXPORT CONTROLLED",IF($D131="","","— pending review —")))</f>
        <v/>
      </c>
    </row>
    <row r="132" customFormat="false" ht="30" hidden="false" customHeight="true" outlineLevel="0" collapsed="false">
      <c r="A132" s="48" t="n">
        <v>125</v>
      </c>
      <c r="B132" s="25"/>
      <c r="C132" s="25"/>
      <c r="D132" s="25"/>
      <c r="E132" s="25"/>
      <c r="F132" s="50" t="str">
        <f aca="false">IF($D132="","",INDEX(Doc_Types!$C$2:$C$77,MATCH($D132,DocTypeList,0)))</f>
        <v/>
      </c>
      <c r="G132" s="32" t="str">
        <f aca="false">IF($D132="","",IF($E132="",0,SUMPRODUCT(--ISNUMBER(SEARCH(Keywords!$A$2:$A$136,$E132)),--(Keywords!$A$2:$A$136&lt;&gt;""))))</f>
        <v/>
      </c>
      <c r="H132" s="51" t="str">
        <f aca="false">IF($D132="","",IF($F132="Yes","YES",IF(AND($F132="Depends",$E132=""),"REVIEW — add scope text",IF($F132="Depends",IF($G132&gt;=Classify!$C$40,"YES","NO"),IF($G132&gt;=Classify!$C$41,"YES","NO")))))</f>
        <v/>
      </c>
      <c r="I132" s="12" t="str">
        <f aca="false">IF($D132="","",INDEX(Doc_Types!$D$2:$D$77,MATCH($D132,DocTypeList,0)))</f>
        <v/>
      </c>
      <c r="J132" s="37" t="str">
        <f aca="false">IF($D132="","",IF($F132="Yes",INDEX(Doc_Types!$E$2:$E$77,MATCH($D132,DocTypeList,0)),IF(LEFT($H132,6)="REVIEW","Type is 'Depends' — classification is decided by content; paste the scope text to resolve.",IF($H132="YES","Type default is '"&amp;$F132&amp;"' but the text contains "&amp;$G132&amp;" controlled technical term(s) — classification follows content (Wassenaar ML22 technology).",INDEX(Doc_Types!$E$2:$E$77,MATCH($D132,DocTypeList,0))&amp;" Text scan: "&amp;$G132&amp;" controlled term(s), below threshold."))))</f>
        <v/>
      </c>
      <c r="K132" s="51" t="str">
        <f aca="false">IF($H132="YES","EXPORT CONTROLLED",IF($H132="NO","NOT EXPORT CONTROLLED",IF($D132="","","— pending review —")))</f>
        <v/>
      </c>
    </row>
    <row r="133" customFormat="false" ht="30" hidden="false" customHeight="true" outlineLevel="0" collapsed="false">
      <c r="A133" s="48" t="n">
        <v>126</v>
      </c>
      <c r="B133" s="25"/>
      <c r="C133" s="25"/>
      <c r="D133" s="25"/>
      <c r="E133" s="25"/>
      <c r="F133" s="50" t="str">
        <f aca="false">IF($D133="","",INDEX(Doc_Types!$C$2:$C$77,MATCH($D133,DocTypeList,0)))</f>
        <v/>
      </c>
      <c r="G133" s="32" t="str">
        <f aca="false">IF($D133="","",IF($E133="",0,SUMPRODUCT(--ISNUMBER(SEARCH(Keywords!$A$2:$A$136,$E133)),--(Keywords!$A$2:$A$136&lt;&gt;""))))</f>
        <v/>
      </c>
      <c r="H133" s="51" t="str">
        <f aca="false">IF($D133="","",IF($F133="Yes","YES",IF(AND($F133="Depends",$E133=""),"REVIEW — add scope text",IF($F133="Depends",IF($G133&gt;=Classify!$C$40,"YES","NO"),IF($G133&gt;=Classify!$C$41,"YES","NO")))))</f>
        <v/>
      </c>
      <c r="I133" s="12" t="str">
        <f aca="false">IF($D133="","",INDEX(Doc_Types!$D$2:$D$77,MATCH($D133,DocTypeList,0)))</f>
        <v/>
      </c>
      <c r="J133" s="37" t="str">
        <f aca="false">IF($D133="","",IF($F133="Yes",INDEX(Doc_Types!$E$2:$E$77,MATCH($D133,DocTypeList,0)),IF(LEFT($H133,6)="REVIEW","Type is 'Depends' — classification is decided by content; paste the scope text to resolve.",IF($H133="YES","Type default is '"&amp;$F133&amp;"' but the text contains "&amp;$G133&amp;" controlled technical term(s) — classification follows content (Wassenaar ML22 technology).",INDEX(Doc_Types!$E$2:$E$77,MATCH($D133,DocTypeList,0))&amp;" Text scan: "&amp;$G133&amp;" controlled term(s), below threshold."))))</f>
        <v/>
      </c>
      <c r="K133" s="51" t="str">
        <f aca="false">IF($H133="YES","EXPORT CONTROLLED",IF($H133="NO","NOT EXPORT CONTROLLED",IF($D133="","","— pending review —")))</f>
        <v/>
      </c>
    </row>
    <row r="134" customFormat="false" ht="30" hidden="false" customHeight="true" outlineLevel="0" collapsed="false">
      <c r="A134" s="48" t="n">
        <v>127</v>
      </c>
      <c r="B134" s="25"/>
      <c r="C134" s="25"/>
      <c r="D134" s="25"/>
      <c r="E134" s="25"/>
      <c r="F134" s="50" t="str">
        <f aca="false">IF($D134="","",INDEX(Doc_Types!$C$2:$C$77,MATCH($D134,DocTypeList,0)))</f>
        <v/>
      </c>
      <c r="G134" s="32" t="str">
        <f aca="false">IF($D134="","",IF($E134="",0,SUMPRODUCT(--ISNUMBER(SEARCH(Keywords!$A$2:$A$136,$E134)),--(Keywords!$A$2:$A$136&lt;&gt;""))))</f>
        <v/>
      </c>
      <c r="H134" s="51" t="str">
        <f aca="false">IF($D134="","",IF($F134="Yes","YES",IF(AND($F134="Depends",$E134=""),"REVIEW — add scope text",IF($F134="Depends",IF($G134&gt;=Classify!$C$40,"YES","NO"),IF($G134&gt;=Classify!$C$41,"YES","NO")))))</f>
        <v/>
      </c>
      <c r="I134" s="12" t="str">
        <f aca="false">IF($D134="","",INDEX(Doc_Types!$D$2:$D$77,MATCH($D134,DocTypeList,0)))</f>
        <v/>
      </c>
      <c r="J134" s="37" t="str">
        <f aca="false">IF($D134="","",IF($F134="Yes",INDEX(Doc_Types!$E$2:$E$77,MATCH($D134,DocTypeList,0)),IF(LEFT($H134,6)="REVIEW","Type is 'Depends' — classification is decided by content; paste the scope text to resolve.",IF($H134="YES","Type default is '"&amp;$F134&amp;"' but the text contains "&amp;$G134&amp;" controlled technical term(s) — classification follows content (Wassenaar ML22 technology).",INDEX(Doc_Types!$E$2:$E$77,MATCH($D134,DocTypeList,0))&amp;" Text scan: "&amp;$G134&amp;" controlled term(s), below threshold."))))</f>
        <v/>
      </c>
      <c r="K134" s="51" t="str">
        <f aca="false">IF($H134="YES","EXPORT CONTROLLED",IF($H134="NO","NOT EXPORT CONTROLLED",IF($D134="","","— pending review —")))</f>
        <v/>
      </c>
    </row>
    <row r="135" customFormat="false" ht="30" hidden="false" customHeight="true" outlineLevel="0" collapsed="false">
      <c r="A135" s="48" t="n">
        <v>128</v>
      </c>
      <c r="B135" s="25"/>
      <c r="C135" s="25"/>
      <c r="D135" s="25"/>
      <c r="E135" s="25"/>
      <c r="F135" s="50" t="str">
        <f aca="false">IF($D135="","",INDEX(Doc_Types!$C$2:$C$77,MATCH($D135,DocTypeList,0)))</f>
        <v/>
      </c>
      <c r="G135" s="32" t="str">
        <f aca="false">IF($D135="","",IF($E135="",0,SUMPRODUCT(--ISNUMBER(SEARCH(Keywords!$A$2:$A$136,$E135)),--(Keywords!$A$2:$A$136&lt;&gt;""))))</f>
        <v/>
      </c>
      <c r="H135" s="51" t="str">
        <f aca="false">IF($D135="","",IF($F135="Yes","YES",IF(AND($F135="Depends",$E135=""),"REVIEW — add scope text",IF($F135="Depends",IF($G135&gt;=Classify!$C$40,"YES","NO"),IF($G135&gt;=Classify!$C$41,"YES","NO")))))</f>
        <v/>
      </c>
      <c r="I135" s="12" t="str">
        <f aca="false">IF($D135="","",INDEX(Doc_Types!$D$2:$D$77,MATCH($D135,DocTypeList,0)))</f>
        <v/>
      </c>
      <c r="J135" s="37" t="str">
        <f aca="false">IF($D135="","",IF($F135="Yes",INDEX(Doc_Types!$E$2:$E$77,MATCH($D135,DocTypeList,0)),IF(LEFT($H135,6)="REVIEW","Type is 'Depends' — classification is decided by content; paste the scope text to resolve.",IF($H135="YES","Type default is '"&amp;$F135&amp;"' but the text contains "&amp;$G135&amp;" controlled technical term(s) — classification follows content (Wassenaar ML22 technology).",INDEX(Doc_Types!$E$2:$E$77,MATCH($D135,DocTypeList,0))&amp;" Text scan: "&amp;$G135&amp;" controlled term(s), below threshold."))))</f>
        <v/>
      </c>
      <c r="K135" s="51" t="str">
        <f aca="false">IF($H135="YES","EXPORT CONTROLLED",IF($H135="NO","NOT EXPORT CONTROLLED",IF($D135="","","— pending review —")))</f>
        <v/>
      </c>
    </row>
    <row r="136" customFormat="false" ht="30" hidden="false" customHeight="true" outlineLevel="0" collapsed="false">
      <c r="A136" s="48" t="n">
        <v>129</v>
      </c>
      <c r="B136" s="25"/>
      <c r="C136" s="25"/>
      <c r="D136" s="25"/>
      <c r="E136" s="25"/>
      <c r="F136" s="50" t="str">
        <f aca="false">IF($D136="","",INDEX(Doc_Types!$C$2:$C$77,MATCH($D136,DocTypeList,0)))</f>
        <v/>
      </c>
      <c r="G136" s="32" t="str">
        <f aca="false">IF($D136="","",IF($E136="",0,SUMPRODUCT(--ISNUMBER(SEARCH(Keywords!$A$2:$A$136,$E136)),--(Keywords!$A$2:$A$136&lt;&gt;""))))</f>
        <v/>
      </c>
      <c r="H136" s="51" t="str">
        <f aca="false">IF($D136="","",IF($F136="Yes","YES",IF(AND($F136="Depends",$E136=""),"REVIEW — add scope text",IF($F136="Depends",IF($G136&gt;=Classify!$C$40,"YES","NO"),IF($G136&gt;=Classify!$C$41,"YES","NO")))))</f>
        <v/>
      </c>
      <c r="I136" s="12" t="str">
        <f aca="false">IF($D136="","",INDEX(Doc_Types!$D$2:$D$77,MATCH($D136,DocTypeList,0)))</f>
        <v/>
      </c>
      <c r="J136" s="37" t="str">
        <f aca="false">IF($D136="","",IF($F136="Yes",INDEX(Doc_Types!$E$2:$E$77,MATCH($D136,DocTypeList,0)),IF(LEFT($H136,6)="REVIEW","Type is 'Depends' — classification is decided by content; paste the scope text to resolve.",IF($H136="YES","Type default is '"&amp;$F136&amp;"' but the text contains "&amp;$G136&amp;" controlled technical term(s) — classification follows content (Wassenaar ML22 technology).",INDEX(Doc_Types!$E$2:$E$77,MATCH($D136,DocTypeList,0))&amp;" Text scan: "&amp;$G136&amp;" controlled term(s), below threshold."))))</f>
        <v/>
      </c>
      <c r="K136" s="51" t="str">
        <f aca="false">IF($H136="YES","EXPORT CONTROLLED",IF($H136="NO","NOT EXPORT CONTROLLED",IF($D136="","","— pending review —")))</f>
        <v/>
      </c>
    </row>
    <row r="137" customFormat="false" ht="30" hidden="false" customHeight="true" outlineLevel="0" collapsed="false">
      <c r="A137" s="48" t="n">
        <v>130</v>
      </c>
      <c r="B137" s="25"/>
      <c r="C137" s="25"/>
      <c r="D137" s="25"/>
      <c r="E137" s="25"/>
      <c r="F137" s="50" t="str">
        <f aca="false">IF($D137="","",INDEX(Doc_Types!$C$2:$C$77,MATCH($D137,DocTypeList,0)))</f>
        <v/>
      </c>
      <c r="G137" s="32" t="str">
        <f aca="false">IF($D137="","",IF($E137="",0,SUMPRODUCT(--ISNUMBER(SEARCH(Keywords!$A$2:$A$136,$E137)),--(Keywords!$A$2:$A$136&lt;&gt;""))))</f>
        <v/>
      </c>
      <c r="H137" s="51" t="str">
        <f aca="false">IF($D137="","",IF($F137="Yes","YES",IF(AND($F137="Depends",$E137=""),"REVIEW — add scope text",IF($F137="Depends",IF($G137&gt;=Classify!$C$40,"YES","NO"),IF($G137&gt;=Classify!$C$41,"YES","NO")))))</f>
        <v/>
      </c>
      <c r="I137" s="12" t="str">
        <f aca="false">IF($D137="","",INDEX(Doc_Types!$D$2:$D$77,MATCH($D137,DocTypeList,0)))</f>
        <v/>
      </c>
      <c r="J137" s="37" t="str">
        <f aca="false">IF($D137="","",IF($F137="Yes",INDEX(Doc_Types!$E$2:$E$77,MATCH($D137,DocTypeList,0)),IF(LEFT($H137,6)="REVIEW","Type is 'Depends' — classification is decided by content; paste the scope text to resolve.",IF($H137="YES","Type default is '"&amp;$F137&amp;"' but the text contains "&amp;$G137&amp;" controlled technical term(s) — classification follows content (Wassenaar ML22 technology).",INDEX(Doc_Types!$E$2:$E$77,MATCH($D137,DocTypeList,0))&amp;" Text scan: "&amp;$G137&amp;" controlled term(s), below threshold."))))</f>
        <v/>
      </c>
      <c r="K137" s="51" t="str">
        <f aca="false">IF($H137="YES","EXPORT CONTROLLED",IF($H137="NO","NOT EXPORT CONTROLLED",IF($D137="","","— pending review —")))</f>
        <v/>
      </c>
    </row>
    <row r="138" customFormat="false" ht="30" hidden="false" customHeight="true" outlineLevel="0" collapsed="false">
      <c r="A138" s="48" t="n">
        <v>131</v>
      </c>
      <c r="B138" s="25"/>
      <c r="C138" s="25"/>
      <c r="D138" s="25"/>
      <c r="E138" s="25"/>
      <c r="F138" s="50" t="str">
        <f aca="false">IF($D138="","",INDEX(Doc_Types!$C$2:$C$77,MATCH($D138,DocTypeList,0)))</f>
        <v/>
      </c>
      <c r="G138" s="32" t="str">
        <f aca="false">IF($D138="","",IF($E138="",0,SUMPRODUCT(--ISNUMBER(SEARCH(Keywords!$A$2:$A$136,$E138)),--(Keywords!$A$2:$A$136&lt;&gt;""))))</f>
        <v/>
      </c>
      <c r="H138" s="51" t="str">
        <f aca="false">IF($D138="","",IF($F138="Yes","YES",IF(AND($F138="Depends",$E138=""),"REVIEW — add scope text",IF($F138="Depends",IF($G138&gt;=Classify!$C$40,"YES","NO"),IF($G138&gt;=Classify!$C$41,"YES","NO")))))</f>
        <v/>
      </c>
      <c r="I138" s="12" t="str">
        <f aca="false">IF($D138="","",INDEX(Doc_Types!$D$2:$D$77,MATCH($D138,DocTypeList,0)))</f>
        <v/>
      </c>
      <c r="J138" s="37" t="str">
        <f aca="false">IF($D138="","",IF($F138="Yes",INDEX(Doc_Types!$E$2:$E$77,MATCH($D138,DocTypeList,0)),IF(LEFT($H138,6)="REVIEW","Type is 'Depends' — classification is decided by content; paste the scope text to resolve.",IF($H138="YES","Type default is '"&amp;$F138&amp;"' but the text contains "&amp;$G138&amp;" controlled technical term(s) — classification follows content (Wassenaar ML22 technology).",INDEX(Doc_Types!$E$2:$E$77,MATCH($D138,DocTypeList,0))&amp;" Text scan: "&amp;$G138&amp;" controlled term(s), below threshold."))))</f>
        <v/>
      </c>
      <c r="K138" s="51" t="str">
        <f aca="false">IF($H138="YES","EXPORT CONTROLLED",IF($H138="NO","NOT EXPORT CONTROLLED",IF($D138="","","— pending review —")))</f>
        <v/>
      </c>
    </row>
    <row r="139" customFormat="false" ht="30" hidden="false" customHeight="true" outlineLevel="0" collapsed="false">
      <c r="A139" s="48" t="n">
        <v>132</v>
      </c>
      <c r="B139" s="25"/>
      <c r="C139" s="25"/>
      <c r="D139" s="25"/>
      <c r="E139" s="25"/>
      <c r="F139" s="50" t="str">
        <f aca="false">IF($D139="","",INDEX(Doc_Types!$C$2:$C$77,MATCH($D139,DocTypeList,0)))</f>
        <v/>
      </c>
      <c r="G139" s="32" t="str">
        <f aca="false">IF($D139="","",IF($E139="",0,SUMPRODUCT(--ISNUMBER(SEARCH(Keywords!$A$2:$A$136,$E139)),--(Keywords!$A$2:$A$136&lt;&gt;""))))</f>
        <v/>
      </c>
      <c r="H139" s="51" t="str">
        <f aca="false">IF($D139="","",IF($F139="Yes","YES",IF(AND($F139="Depends",$E139=""),"REVIEW — add scope text",IF($F139="Depends",IF($G139&gt;=Classify!$C$40,"YES","NO"),IF($G139&gt;=Classify!$C$41,"YES","NO")))))</f>
        <v/>
      </c>
      <c r="I139" s="12" t="str">
        <f aca="false">IF($D139="","",INDEX(Doc_Types!$D$2:$D$77,MATCH($D139,DocTypeList,0)))</f>
        <v/>
      </c>
      <c r="J139" s="37" t="str">
        <f aca="false">IF($D139="","",IF($F139="Yes",INDEX(Doc_Types!$E$2:$E$77,MATCH($D139,DocTypeList,0)),IF(LEFT($H139,6)="REVIEW","Type is 'Depends' — classification is decided by content; paste the scope text to resolve.",IF($H139="YES","Type default is '"&amp;$F139&amp;"' but the text contains "&amp;$G139&amp;" controlled technical term(s) — classification follows content (Wassenaar ML22 technology).",INDEX(Doc_Types!$E$2:$E$77,MATCH($D139,DocTypeList,0))&amp;" Text scan: "&amp;$G139&amp;" controlled term(s), below threshold."))))</f>
        <v/>
      </c>
      <c r="K139" s="51" t="str">
        <f aca="false">IF($H139="YES","EXPORT CONTROLLED",IF($H139="NO","NOT EXPORT CONTROLLED",IF($D139="","","— pending review —")))</f>
        <v/>
      </c>
    </row>
    <row r="140" customFormat="false" ht="30" hidden="false" customHeight="true" outlineLevel="0" collapsed="false">
      <c r="A140" s="48" t="n">
        <v>133</v>
      </c>
      <c r="B140" s="25"/>
      <c r="C140" s="25"/>
      <c r="D140" s="25"/>
      <c r="E140" s="25"/>
      <c r="F140" s="50" t="str">
        <f aca="false">IF($D140="","",INDEX(Doc_Types!$C$2:$C$77,MATCH($D140,DocTypeList,0)))</f>
        <v/>
      </c>
      <c r="G140" s="32" t="str">
        <f aca="false">IF($D140="","",IF($E140="",0,SUMPRODUCT(--ISNUMBER(SEARCH(Keywords!$A$2:$A$136,$E140)),--(Keywords!$A$2:$A$136&lt;&gt;""))))</f>
        <v/>
      </c>
      <c r="H140" s="51" t="str">
        <f aca="false">IF($D140="","",IF($F140="Yes","YES",IF(AND($F140="Depends",$E140=""),"REVIEW — add scope text",IF($F140="Depends",IF($G140&gt;=Classify!$C$40,"YES","NO"),IF($G140&gt;=Classify!$C$41,"YES","NO")))))</f>
        <v/>
      </c>
      <c r="I140" s="12" t="str">
        <f aca="false">IF($D140="","",INDEX(Doc_Types!$D$2:$D$77,MATCH($D140,DocTypeList,0)))</f>
        <v/>
      </c>
      <c r="J140" s="37" t="str">
        <f aca="false">IF($D140="","",IF($F140="Yes",INDEX(Doc_Types!$E$2:$E$77,MATCH($D140,DocTypeList,0)),IF(LEFT($H140,6)="REVIEW","Type is 'Depends' — classification is decided by content; paste the scope text to resolve.",IF($H140="YES","Type default is '"&amp;$F140&amp;"' but the text contains "&amp;$G140&amp;" controlled technical term(s) — classification follows content (Wassenaar ML22 technology).",INDEX(Doc_Types!$E$2:$E$77,MATCH($D140,DocTypeList,0))&amp;" Text scan: "&amp;$G140&amp;" controlled term(s), below threshold."))))</f>
        <v/>
      </c>
      <c r="K140" s="51" t="str">
        <f aca="false">IF($H140="YES","EXPORT CONTROLLED",IF($H140="NO","NOT EXPORT CONTROLLED",IF($D140="","","— pending review —")))</f>
        <v/>
      </c>
    </row>
    <row r="141" customFormat="false" ht="30" hidden="false" customHeight="true" outlineLevel="0" collapsed="false">
      <c r="A141" s="48" t="n">
        <v>134</v>
      </c>
      <c r="B141" s="25"/>
      <c r="C141" s="25"/>
      <c r="D141" s="25"/>
      <c r="E141" s="25"/>
      <c r="F141" s="50" t="str">
        <f aca="false">IF($D141="","",INDEX(Doc_Types!$C$2:$C$77,MATCH($D141,DocTypeList,0)))</f>
        <v/>
      </c>
      <c r="G141" s="32" t="str">
        <f aca="false">IF($D141="","",IF($E141="",0,SUMPRODUCT(--ISNUMBER(SEARCH(Keywords!$A$2:$A$136,$E141)),--(Keywords!$A$2:$A$136&lt;&gt;""))))</f>
        <v/>
      </c>
      <c r="H141" s="51" t="str">
        <f aca="false">IF($D141="","",IF($F141="Yes","YES",IF(AND($F141="Depends",$E141=""),"REVIEW — add scope text",IF($F141="Depends",IF($G141&gt;=Classify!$C$40,"YES","NO"),IF($G141&gt;=Classify!$C$41,"YES","NO")))))</f>
        <v/>
      </c>
      <c r="I141" s="12" t="str">
        <f aca="false">IF($D141="","",INDEX(Doc_Types!$D$2:$D$77,MATCH($D141,DocTypeList,0)))</f>
        <v/>
      </c>
      <c r="J141" s="37" t="str">
        <f aca="false">IF($D141="","",IF($F141="Yes",INDEX(Doc_Types!$E$2:$E$77,MATCH($D141,DocTypeList,0)),IF(LEFT($H141,6)="REVIEW","Type is 'Depends' — classification is decided by content; paste the scope text to resolve.",IF($H141="YES","Type default is '"&amp;$F141&amp;"' but the text contains "&amp;$G141&amp;" controlled technical term(s) — classification follows content (Wassenaar ML22 technology).",INDEX(Doc_Types!$E$2:$E$77,MATCH($D141,DocTypeList,0))&amp;" Text scan: "&amp;$G141&amp;" controlled term(s), below threshold."))))</f>
        <v/>
      </c>
      <c r="K141" s="51" t="str">
        <f aca="false">IF($H141="YES","EXPORT CONTROLLED",IF($H141="NO","NOT EXPORT CONTROLLED",IF($D141="","","— pending review —")))</f>
        <v/>
      </c>
    </row>
    <row r="142" customFormat="false" ht="30" hidden="false" customHeight="true" outlineLevel="0" collapsed="false">
      <c r="A142" s="48" t="n">
        <v>135</v>
      </c>
      <c r="B142" s="25"/>
      <c r="C142" s="25"/>
      <c r="D142" s="25"/>
      <c r="E142" s="25"/>
      <c r="F142" s="50" t="str">
        <f aca="false">IF($D142="","",INDEX(Doc_Types!$C$2:$C$77,MATCH($D142,DocTypeList,0)))</f>
        <v/>
      </c>
      <c r="G142" s="32" t="str">
        <f aca="false">IF($D142="","",IF($E142="",0,SUMPRODUCT(--ISNUMBER(SEARCH(Keywords!$A$2:$A$136,$E142)),--(Keywords!$A$2:$A$136&lt;&gt;""))))</f>
        <v/>
      </c>
      <c r="H142" s="51" t="str">
        <f aca="false">IF($D142="","",IF($F142="Yes","YES",IF(AND($F142="Depends",$E142=""),"REVIEW — add scope text",IF($F142="Depends",IF($G142&gt;=Classify!$C$40,"YES","NO"),IF($G142&gt;=Classify!$C$41,"YES","NO")))))</f>
        <v/>
      </c>
      <c r="I142" s="12" t="str">
        <f aca="false">IF($D142="","",INDEX(Doc_Types!$D$2:$D$77,MATCH($D142,DocTypeList,0)))</f>
        <v/>
      </c>
      <c r="J142" s="37" t="str">
        <f aca="false">IF($D142="","",IF($F142="Yes",INDEX(Doc_Types!$E$2:$E$77,MATCH($D142,DocTypeList,0)),IF(LEFT($H142,6)="REVIEW","Type is 'Depends' — classification is decided by content; paste the scope text to resolve.",IF($H142="YES","Type default is '"&amp;$F142&amp;"' but the text contains "&amp;$G142&amp;" controlled technical term(s) — classification follows content (Wassenaar ML22 technology).",INDEX(Doc_Types!$E$2:$E$77,MATCH($D142,DocTypeList,0))&amp;" Text scan: "&amp;$G142&amp;" controlled term(s), below threshold."))))</f>
        <v/>
      </c>
      <c r="K142" s="51" t="str">
        <f aca="false">IF($H142="YES","EXPORT CONTROLLED",IF($H142="NO","NOT EXPORT CONTROLLED",IF($D142="","","— pending review —")))</f>
        <v/>
      </c>
    </row>
    <row r="143" customFormat="false" ht="30" hidden="false" customHeight="true" outlineLevel="0" collapsed="false">
      <c r="A143" s="48" t="n">
        <v>136</v>
      </c>
      <c r="B143" s="25"/>
      <c r="C143" s="25"/>
      <c r="D143" s="25"/>
      <c r="E143" s="25"/>
      <c r="F143" s="50" t="str">
        <f aca="false">IF($D143="","",INDEX(Doc_Types!$C$2:$C$77,MATCH($D143,DocTypeList,0)))</f>
        <v/>
      </c>
      <c r="G143" s="32" t="str">
        <f aca="false">IF($D143="","",IF($E143="",0,SUMPRODUCT(--ISNUMBER(SEARCH(Keywords!$A$2:$A$136,$E143)),--(Keywords!$A$2:$A$136&lt;&gt;""))))</f>
        <v/>
      </c>
      <c r="H143" s="51" t="str">
        <f aca="false">IF($D143="","",IF($F143="Yes","YES",IF(AND($F143="Depends",$E143=""),"REVIEW — add scope text",IF($F143="Depends",IF($G143&gt;=Classify!$C$40,"YES","NO"),IF($G143&gt;=Classify!$C$41,"YES","NO")))))</f>
        <v/>
      </c>
      <c r="I143" s="12" t="str">
        <f aca="false">IF($D143="","",INDEX(Doc_Types!$D$2:$D$77,MATCH($D143,DocTypeList,0)))</f>
        <v/>
      </c>
      <c r="J143" s="37" t="str">
        <f aca="false">IF($D143="","",IF($F143="Yes",INDEX(Doc_Types!$E$2:$E$77,MATCH($D143,DocTypeList,0)),IF(LEFT($H143,6)="REVIEW","Type is 'Depends' — classification is decided by content; paste the scope text to resolve.",IF($H143="YES","Type default is '"&amp;$F143&amp;"' but the text contains "&amp;$G143&amp;" controlled technical term(s) — classification follows content (Wassenaar ML22 technology).",INDEX(Doc_Types!$E$2:$E$77,MATCH($D143,DocTypeList,0))&amp;" Text scan: "&amp;$G143&amp;" controlled term(s), below threshold."))))</f>
        <v/>
      </c>
      <c r="K143" s="51" t="str">
        <f aca="false">IF($H143="YES","EXPORT CONTROLLED",IF($H143="NO","NOT EXPORT CONTROLLED",IF($D143="","","— pending review —")))</f>
        <v/>
      </c>
    </row>
    <row r="144" customFormat="false" ht="30" hidden="false" customHeight="true" outlineLevel="0" collapsed="false">
      <c r="A144" s="48" t="n">
        <v>137</v>
      </c>
      <c r="B144" s="25"/>
      <c r="C144" s="25"/>
      <c r="D144" s="25"/>
      <c r="E144" s="25"/>
      <c r="F144" s="50" t="str">
        <f aca="false">IF($D144="","",INDEX(Doc_Types!$C$2:$C$77,MATCH($D144,DocTypeList,0)))</f>
        <v/>
      </c>
      <c r="G144" s="32" t="str">
        <f aca="false">IF($D144="","",IF($E144="",0,SUMPRODUCT(--ISNUMBER(SEARCH(Keywords!$A$2:$A$136,$E144)),--(Keywords!$A$2:$A$136&lt;&gt;""))))</f>
        <v/>
      </c>
      <c r="H144" s="51" t="str">
        <f aca="false">IF($D144="","",IF($F144="Yes","YES",IF(AND($F144="Depends",$E144=""),"REVIEW — add scope text",IF($F144="Depends",IF($G144&gt;=Classify!$C$40,"YES","NO"),IF($G144&gt;=Classify!$C$41,"YES","NO")))))</f>
        <v/>
      </c>
      <c r="I144" s="12" t="str">
        <f aca="false">IF($D144="","",INDEX(Doc_Types!$D$2:$D$77,MATCH($D144,DocTypeList,0)))</f>
        <v/>
      </c>
      <c r="J144" s="37" t="str">
        <f aca="false">IF($D144="","",IF($F144="Yes",INDEX(Doc_Types!$E$2:$E$77,MATCH($D144,DocTypeList,0)),IF(LEFT($H144,6)="REVIEW","Type is 'Depends' — classification is decided by content; paste the scope text to resolve.",IF($H144="YES","Type default is '"&amp;$F144&amp;"' but the text contains "&amp;$G144&amp;" controlled technical term(s) — classification follows content (Wassenaar ML22 technology).",INDEX(Doc_Types!$E$2:$E$77,MATCH($D144,DocTypeList,0))&amp;" Text scan: "&amp;$G144&amp;" controlled term(s), below threshold."))))</f>
        <v/>
      </c>
      <c r="K144" s="51" t="str">
        <f aca="false">IF($H144="YES","EXPORT CONTROLLED",IF($H144="NO","NOT EXPORT CONTROLLED",IF($D144="","","— pending review —")))</f>
        <v/>
      </c>
    </row>
    <row r="145" customFormat="false" ht="30" hidden="false" customHeight="true" outlineLevel="0" collapsed="false">
      <c r="A145" s="48" t="n">
        <v>138</v>
      </c>
      <c r="B145" s="25"/>
      <c r="C145" s="25"/>
      <c r="D145" s="25"/>
      <c r="E145" s="25"/>
      <c r="F145" s="50" t="str">
        <f aca="false">IF($D145="","",INDEX(Doc_Types!$C$2:$C$77,MATCH($D145,DocTypeList,0)))</f>
        <v/>
      </c>
      <c r="G145" s="32" t="str">
        <f aca="false">IF($D145="","",IF($E145="",0,SUMPRODUCT(--ISNUMBER(SEARCH(Keywords!$A$2:$A$136,$E145)),--(Keywords!$A$2:$A$136&lt;&gt;""))))</f>
        <v/>
      </c>
      <c r="H145" s="51" t="str">
        <f aca="false">IF($D145="","",IF($F145="Yes","YES",IF(AND($F145="Depends",$E145=""),"REVIEW — add scope text",IF($F145="Depends",IF($G145&gt;=Classify!$C$40,"YES","NO"),IF($G145&gt;=Classify!$C$41,"YES","NO")))))</f>
        <v/>
      </c>
      <c r="I145" s="12" t="str">
        <f aca="false">IF($D145="","",INDEX(Doc_Types!$D$2:$D$77,MATCH($D145,DocTypeList,0)))</f>
        <v/>
      </c>
      <c r="J145" s="37" t="str">
        <f aca="false">IF($D145="","",IF($F145="Yes",INDEX(Doc_Types!$E$2:$E$77,MATCH($D145,DocTypeList,0)),IF(LEFT($H145,6)="REVIEW","Type is 'Depends' — classification is decided by content; paste the scope text to resolve.",IF($H145="YES","Type default is '"&amp;$F145&amp;"' but the text contains "&amp;$G145&amp;" controlled technical term(s) — classification follows content (Wassenaar ML22 technology).",INDEX(Doc_Types!$E$2:$E$77,MATCH($D145,DocTypeList,0))&amp;" Text scan: "&amp;$G145&amp;" controlled term(s), below threshold."))))</f>
        <v/>
      </c>
      <c r="K145" s="51" t="str">
        <f aca="false">IF($H145="YES","EXPORT CONTROLLED",IF($H145="NO","NOT EXPORT CONTROLLED",IF($D145="","","— pending review —")))</f>
        <v/>
      </c>
    </row>
    <row r="146" customFormat="false" ht="30" hidden="false" customHeight="true" outlineLevel="0" collapsed="false">
      <c r="A146" s="48" t="n">
        <v>139</v>
      </c>
      <c r="B146" s="25"/>
      <c r="C146" s="25"/>
      <c r="D146" s="25"/>
      <c r="E146" s="25"/>
      <c r="F146" s="50" t="str">
        <f aca="false">IF($D146="","",INDEX(Doc_Types!$C$2:$C$77,MATCH($D146,DocTypeList,0)))</f>
        <v/>
      </c>
      <c r="G146" s="32" t="str">
        <f aca="false">IF($D146="","",IF($E146="",0,SUMPRODUCT(--ISNUMBER(SEARCH(Keywords!$A$2:$A$136,$E146)),--(Keywords!$A$2:$A$136&lt;&gt;""))))</f>
        <v/>
      </c>
      <c r="H146" s="51" t="str">
        <f aca="false">IF($D146="","",IF($F146="Yes","YES",IF(AND($F146="Depends",$E146=""),"REVIEW — add scope text",IF($F146="Depends",IF($G146&gt;=Classify!$C$40,"YES","NO"),IF($G146&gt;=Classify!$C$41,"YES","NO")))))</f>
        <v/>
      </c>
      <c r="I146" s="12" t="str">
        <f aca="false">IF($D146="","",INDEX(Doc_Types!$D$2:$D$77,MATCH($D146,DocTypeList,0)))</f>
        <v/>
      </c>
      <c r="J146" s="37" t="str">
        <f aca="false">IF($D146="","",IF($F146="Yes",INDEX(Doc_Types!$E$2:$E$77,MATCH($D146,DocTypeList,0)),IF(LEFT($H146,6)="REVIEW","Type is 'Depends' — classification is decided by content; paste the scope text to resolve.",IF($H146="YES","Type default is '"&amp;$F146&amp;"' but the text contains "&amp;$G146&amp;" controlled technical term(s) — classification follows content (Wassenaar ML22 technology).",INDEX(Doc_Types!$E$2:$E$77,MATCH($D146,DocTypeList,0))&amp;" Text scan: "&amp;$G146&amp;" controlled term(s), below threshold."))))</f>
        <v/>
      </c>
      <c r="K146" s="51" t="str">
        <f aca="false">IF($H146="YES","EXPORT CONTROLLED",IF($H146="NO","NOT EXPORT CONTROLLED",IF($D146="","","— pending review —")))</f>
        <v/>
      </c>
    </row>
    <row r="147" customFormat="false" ht="30" hidden="false" customHeight="true" outlineLevel="0" collapsed="false">
      <c r="A147" s="48" t="n">
        <v>140</v>
      </c>
      <c r="B147" s="25"/>
      <c r="C147" s="25"/>
      <c r="D147" s="25"/>
      <c r="E147" s="25"/>
      <c r="F147" s="50" t="str">
        <f aca="false">IF($D147="","",INDEX(Doc_Types!$C$2:$C$77,MATCH($D147,DocTypeList,0)))</f>
        <v/>
      </c>
      <c r="G147" s="32" t="str">
        <f aca="false">IF($D147="","",IF($E147="",0,SUMPRODUCT(--ISNUMBER(SEARCH(Keywords!$A$2:$A$136,$E147)),--(Keywords!$A$2:$A$136&lt;&gt;""))))</f>
        <v/>
      </c>
      <c r="H147" s="51" t="str">
        <f aca="false">IF($D147="","",IF($F147="Yes","YES",IF(AND($F147="Depends",$E147=""),"REVIEW — add scope text",IF($F147="Depends",IF($G147&gt;=Classify!$C$40,"YES","NO"),IF($G147&gt;=Classify!$C$41,"YES","NO")))))</f>
        <v/>
      </c>
      <c r="I147" s="12" t="str">
        <f aca="false">IF($D147="","",INDEX(Doc_Types!$D$2:$D$77,MATCH($D147,DocTypeList,0)))</f>
        <v/>
      </c>
      <c r="J147" s="37" t="str">
        <f aca="false">IF($D147="","",IF($F147="Yes",INDEX(Doc_Types!$E$2:$E$77,MATCH($D147,DocTypeList,0)),IF(LEFT($H147,6)="REVIEW","Type is 'Depends' — classification is decided by content; paste the scope text to resolve.",IF($H147="YES","Type default is '"&amp;$F147&amp;"' but the text contains "&amp;$G147&amp;" controlled technical term(s) — classification follows content (Wassenaar ML22 technology).",INDEX(Doc_Types!$E$2:$E$77,MATCH($D147,DocTypeList,0))&amp;" Text scan: "&amp;$G147&amp;" controlled term(s), below threshold."))))</f>
        <v/>
      </c>
      <c r="K147" s="51" t="str">
        <f aca="false">IF($H147="YES","EXPORT CONTROLLED",IF($H147="NO","NOT EXPORT CONTROLLED",IF($D147="","","— pending review —")))</f>
        <v/>
      </c>
    </row>
    <row r="148" customFormat="false" ht="30" hidden="false" customHeight="true" outlineLevel="0" collapsed="false">
      <c r="A148" s="48" t="n">
        <v>141</v>
      </c>
      <c r="B148" s="25"/>
      <c r="C148" s="25"/>
      <c r="D148" s="25"/>
      <c r="E148" s="25"/>
      <c r="F148" s="50" t="str">
        <f aca="false">IF($D148="","",INDEX(Doc_Types!$C$2:$C$77,MATCH($D148,DocTypeList,0)))</f>
        <v/>
      </c>
      <c r="G148" s="32" t="str">
        <f aca="false">IF($D148="","",IF($E148="",0,SUMPRODUCT(--ISNUMBER(SEARCH(Keywords!$A$2:$A$136,$E148)),--(Keywords!$A$2:$A$136&lt;&gt;""))))</f>
        <v/>
      </c>
      <c r="H148" s="51" t="str">
        <f aca="false">IF($D148="","",IF($F148="Yes","YES",IF(AND($F148="Depends",$E148=""),"REVIEW — add scope text",IF($F148="Depends",IF($G148&gt;=Classify!$C$40,"YES","NO"),IF($G148&gt;=Classify!$C$41,"YES","NO")))))</f>
        <v/>
      </c>
      <c r="I148" s="12" t="str">
        <f aca="false">IF($D148="","",INDEX(Doc_Types!$D$2:$D$77,MATCH($D148,DocTypeList,0)))</f>
        <v/>
      </c>
      <c r="J148" s="37" t="str">
        <f aca="false">IF($D148="","",IF($F148="Yes",INDEX(Doc_Types!$E$2:$E$77,MATCH($D148,DocTypeList,0)),IF(LEFT($H148,6)="REVIEW","Type is 'Depends' — classification is decided by content; paste the scope text to resolve.",IF($H148="YES","Type default is '"&amp;$F148&amp;"' but the text contains "&amp;$G148&amp;" controlled technical term(s) — classification follows content (Wassenaar ML22 technology).",INDEX(Doc_Types!$E$2:$E$77,MATCH($D148,DocTypeList,0))&amp;" Text scan: "&amp;$G148&amp;" controlled term(s), below threshold."))))</f>
        <v/>
      </c>
      <c r="K148" s="51" t="str">
        <f aca="false">IF($H148="YES","EXPORT CONTROLLED",IF($H148="NO","NOT EXPORT CONTROLLED",IF($D148="","","— pending review —")))</f>
        <v/>
      </c>
    </row>
    <row r="149" customFormat="false" ht="30" hidden="false" customHeight="true" outlineLevel="0" collapsed="false">
      <c r="A149" s="48" t="n">
        <v>142</v>
      </c>
      <c r="B149" s="25"/>
      <c r="C149" s="25"/>
      <c r="D149" s="25"/>
      <c r="E149" s="25"/>
      <c r="F149" s="50" t="str">
        <f aca="false">IF($D149="","",INDEX(Doc_Types!$C$2:$C$77,MATCH($D149,DocTypeList,0)))</f>
        <v/>
      </c>
      <c r="G149" s="32" t="str">
        <f aca="false">IF($D149="","",IF($E149="",0,SUMPRODUCT(--ISNUMBER(SEARCH(Keywords!$A$2:$A$136,$E149)),--(Keywords!$A$2:$A$136&lt;&gt;""))))</f>
        <v/>
      </c>
      <c r="H149" s="51" t="str">
        <f aca="false">IF($D149="","",IF($F149="Yes","YES",IF(AND($F149="Depends",$E149=""),"REVIEW — add scope text",IF($F149="Depends",IF($G149&gt;=Classify!$C$40,"YES","NO"),IF($G149&gt;=Classify!$C$41,"YES","NO")))))</f>
        <v/>
      </c>
      <c r="I149" s="12" t="str">
        <f aca="false">IF($D149="","",INDEX(Doc_Types!$D$2:$D$77,MATCH($D149,DocTypeList,0)))</f>
        <v/>
      </c>
      <c r="J149" s="37" t="str">
        <f aca="false">IF($D149="","",IF($F149="Yes",INDEX(Doc_Types!$E$2:$E$77,MATCH($D149,DocTypeList,0)),IF(LEFT($H149,6)="REVIEW","Type is 'Depends' — classification is decided by content; paste the scope text to resolve.",IF($H149="YES","Type default is '"&amp;$F149&amp;"' but the text contains "&amp;$G149&amp;" controlled technical term(s) — classification follows content (Wassenaar ML22 technology).",INDEX(Doc_Types!$E$2:$E$77,MATCH($D149,DocTypeList,0))&amp;" Text scan: "&amp;$G149&amp;" controlled term(s), below threshold."))))</f>
        <v/>
      </c>
      <c r="K149" s="51" t="str">
        <f aca="false">IF($H149="YES","EXPORT CONTROLLED",IF($H149="NO","NOT EXPORT CONTROLLED",IF($D149="","","— pending review —")))</f>
        <v/>
      </c>
    </row>
    <row r="150" customFormat="false" ht="30" hidden="false" customHeight="true" outlineLevel="0" collapsed="false">
      <c r="A150" s="48" t="n">
        <v>143</v>
      </c>
      <c r="B150" s="25"/>
      <c r="C150" s="25"/>
      <c r="D150" s="25"/>
      <c r="E150" s="25"/>
      <c r="F150" s="50" t="str">
        <f aca="false">IF($D150="","",INDEX(Doc_Types!$C$2:$C$77,MATCH($D150,DocTypeList,0)))</f>
        <v/>
      </c>
      <c r="G150" s="32" t="str">
        <f aca="false">IF($D150="","",IF($E150="",0,SUMPRODUCT(--ISNUMBER(SEARCH(Keywords!$A$2:$A$136,$E150)),--(Keywords!$A$2:$A$136&lt;&gt;""))))</f>
        <v/>
      </c>
      <c r="H150" s="51" t="str">
        <f aca="false">IF($D150="","",IF($F150="Yes","YES",IF(AND($F150="Depends",$E150=""),"REVIEW — add scope text",IF($F150="Depends",IF($G150&gt;=Classify!$C$40,"YES","NO"),IF($G150&gt;=Classify!$C$41,"YES","NO")))))</f>
        <v/>
      </c>
      <c r="I150" s="12" t="str">
        <f aca="false">IF($D150="","",INDEX(Doc_Types!$D$2:$D$77,MATCH($D150,DocTypeList,0)))</f>
        <v/>
      </c>
      <c r="J150" s="37" t="str">
        <f aca="false">IF($D150="","",IF($F150="Yes",INDEX(Doc_Types!$E$2:$E$77,MATCH($D150,DocTypeList,0)),IF(LEFT($H150,6)="REVIEW","Type is 'Depends' — classification is decided by content; paste the scope text to resolve.",IF($H150="YES","Type default is '"&amp;$F150&amp;"' but the text contains "&amp;$G150&amp;" controlled technical term(s) — classification follows content (Wassenaar ML22 technology).",INDEX(Doc_Types!$E$2:$E$77,MATCH($D150,DocTypeList,0))&amp;" Text scan: "&amp;$G150&amp;" controlled term(s), below threshold."))))</f>
        <v/>
      </c>
      <c r="K150" s="51" t="str">
        <f aca="false">IF($H150="YES","EXPORT CONTROLLED",IF($H150="NO","NOT EXPORT CONTROLLED",IF($D150="","","— pending review —")))</f>
        <v/>
      </c>
    </row>
    <row r="151" customFormat="false" ht="30" hidden="false" customHeight="true" outlineLevel="0" collapsed="false">
      <c r="A151" s="48" t="n">
        <v>144</v>
      </c>
      <c r="B151" s="25"/>
      <c r="C151" s="25"/>
      <c r="D151" s="25"/>
      <c r="E151" s="25"/>
      <c r="F151" s="50" t="str">
        <f aca="false">IF($D151="","",INDEX(Doc_Types!$C$2:$C$77,MATCH($D151,DocTypeList,0)))</f>
        <v/>
      </c>
      <c r="G151" s="32" t="str">
        <f aca="false">IF($D151="","",IF($E151="",0,SUMPRODUCT(--ISNUMBER(SEARCH(Keywords!$A$2:$A$136,$E151)),--(Keywords!$A$2:$A$136&lt;&gt;""))))</f>
        <v/>
      </c>
      <c r="H151" s="51" t="str">
        <f aca="false">IF($D151="","",IF($F151="Yes","YES",IF(AND($F151="Depends",$E151=""),"REVIEW — add scope text",IF($F151="Depends",IF($G151&gt;=Classify!$C$40,"YES","NO"),IF($G151&gt;=Classify!$C$41,"YES","NO")))))</f>
        <v/>
      </c>
      <c r="I151" s="12" t="str">
        <f aca="false">IF($D151="","",INDEX(Doc_Types!$D$2:$D$77,MATCH($D151,DocTypeList,0)))</f>
        <v/>
      </c>
      <c r="J151" s="37" t="str">
        <f aca="false">IF($D151="","",IF($F151="Yes",INDEX(Doc_Types!$E$2:$E$77,MATCH($D151,DocTypeList,0)),IF(LEFT($H151,6)="REVIEW","Type is 'Depends' — classification is decided by content; paste the scope text to resolve.",IF($H151="YES","Type default is '"&amp;$F151&amp;"' but the text contains "&amp;$G151&amp;" controlled technical term(s) — classification follows content (Wassenaar ML22 technology).",INDEX(Doc_Types!$E$2:$E$77,MATCH($D151,DocTypeList,0))&amp;" Text scan: "&amp;$G151&amp;" controlled term(s), below threshold."))))</f>
        <v/>
      </c>
      <c r="K151" s="51" t="str">
        <f aca="false">IF($H151="YES","EXPORT CONTROLLED",IF($H151="NO","NOT EXPORT CONTROLLED",IF($D151="","","— pending review —")))</f>
        <v/>
      </c>
    </row>
    <row r="152" customFormat="false" ht="30" hidden="false" customHeight="true" outlineLevel="0" collapsed="false">
      <c r="A152" s="48" t="n">
        <v>145</v>
      </c>
      <c r="B152" s="25"/>
      <c r="C152" s="25"/>
      <c r="D152" s="25"/>
      <c r="E152" s="25"/>
      <c r="F152" s="50" t="str">
        <f aca="false">IF($D152="","",INDEX(Doc_Types!$C$2:$C$77,MATCH($D152,DocTypeList,0)))</f>
        <v/>
      </c>
      <c r="G152" s="32" t="str">
        <f aca="false">IF($D152="","",IF($E152="",0,SUMPRODUCT(--ISNUMBER(SEARCH(Keywords!$A$2:$A$136,$E152)),--(Keywords!$A$2:$A$136&lt;&gt;""))))</f>
        <v/>
      </c>
      <c r="H152" s="51" t="str">
        <f aca="false">IF($D152="","",IF($F152="Yes","YES",IF(AND($F152="Depends",$E152=""),"REVIEW — add scope text",IF($F152="Depends",IF($G152&gt;=Classify!$C$40,"YES","NO"),IF($G152&gt;=Classify!$C$41,"YES","NO")))))</f>
        <v/>
      </c>
      <c r="I152" s="12" t="str">
        <f aca="false">IF($D152="","",INDEX(Doc_Types!$D$2:$D$77,MATCH($D152,DocTypeList,0)))</f>
        <v/>
      </c>
      <c r="J152" s="37" t="str">
        <f aca="false">IF($D152="","",IF($F152="Yes",INDEX(Doc_Types!$E$2:$E$77,MATCH($D152,DocTypeList,0)),IF(LEFT($H152,6)="REVIEW","Type is 'Depends' — classification is decided by content; paste the scope text to resolve.",IF($H152="YES","Type default is '"&amp;$F152&amp;"' but the text contains "&amp;$G152&amp;" controlled technical term(s) — classification follows content (Wassenaar ML22 technology).",INDEX(Doc_Types!$E$2:$E$77,MATCH($D152,DocTypeList,0))&amp;" Text scan: "&amp;$G152&amp;" controlled term(s), below threshold."))))</f>
        <v/>
      </c>
      <c r="K152" s="51" t="str">
        <f aca="false">IF($H152="YES","EXPORT CONTROLLED",IF($H152="NO","NOT EXPORT CONTROLLED",IF($D152="","","— pending review —")))</f>
        <v/>
      </c>
    </row>
    <row r="153" customFormat="false" ht="30" hidden="false" customHeight="true" outlineLevel="0" collapsed="false">
      <c r="A153" s="48" t="n">
        <v>146</v>
      </c>
      <c r="B153" s="25"/>
      <c r="C153" s="25"/>
      <c r="D153" s="25"/>
      <c r="E153" s="25"/>
      <c r="F153" s="50" t="str">
        <f aca="false">IF($D153="","",INDEX(Doc_Types!$C$2:$C$77,MATCH($D153,DocTypeList,0)))</f>
        <v/>
      </c>
      <c r="G153" s="32" t="str">
        <f aca="false">IF($D153="","",IF($E153="",0,SUMPRODUCT(--ISNUMBER(SEARCH(Keywords!$A$2:$A$136,$E153)),--(Keywords!$A$2:$A$136&lt;&gt;""))))</f>
        <v/>
      </c>
      <c r="H153" s="51" t="str">
        <f aca="false">IF($D153="","",IF($F153="Yes","YES",IF(AND($F153="Depends",$E153=""),"REVIEW — add scope text",IF($F153="Depends",IF($G153&gt;=Classify!$C$40,"YES","NO"),IF($G153&gt;=Classify!$C$41,"YES","NO")))))</f>
        <v/>
      </c>
      <c r="I153" s="12" t="str">
        <f aca="false">IF($D153="","",INDEX(Doc_Types!$D$2:$D$77,MATCH($D153,DocTypeList,0)))</f>
        <v/>
      </c>
      <c r="J153" s="37" t="str">
        <f aca="false">IF($D153="","",IF($F153="Yes",INDEX(Doc_Types!$E$2:$E$77,MATCH($D153,DocTypeList,0)),IF(LEFT($H153,6)="REVIEW","Type is 'Depends' — classification is decided by content; paste the scope text to resolve.",IF($H153="YES","Type default is '"&amp;$F153&amp;"' but the text contains "&amp;$G153&amp;" controlled technical term(s) — classification follows content (Wassenaar ML22 technology).",INDEX(Doc_Types!$E$2:$E$77,MATCH($D153,DocTypeList,0))&amp;" Text scan: "&amp;$G153&amp;" controlled term(s), below threshold."))))</f>
        <v/>
      </c>
      <c r="K153" s="51" t="str">
        <f aca="false">IF($H153="YES","EXPORT CONTROLLED",IF($H153="NO","NOT EXPORT CONTROLLED",IF($D153="","","— pending review —")))</f>
        <v/>
      </c>
    </row>
    <row r="154" customFormat="false" ht="30" hidden="false" customHeight="true" outlineLevel="0" collapsed="false">
      <c r="A154" s="48" t="n">
        <v>147</v>
      </c>
      <c r="B154" s="25"/>
      <c r="C154" s="25"/>
      <c r="D154" s="25"/>
      <c r="E154" s="25"/>
      <c r="F154" s="50" t="str">
        <f aca="false">IF($D154="","",INDEX(Doc_Types!$C$2:$C$77,MATCH($D154,DocTypeList,0)))</f>
        <v/>
      </c>
      <c r="G154" s="32" t="str">
        <f aca="false">IF($D154="","",IF($E154="",0,SUMPRODUCT(--ISNUMBER(SEARCH(Keywords!$A$2:$A$136,$E154)),--(Keywords!$A$2:$A$136&lt;&gt;""))))</f>
        <v/>
      </c>
      <c r="H154" s="51" t="str">
        <f aca="false">IF($D154="","",IF($F154="Yes","YES",IF(AND($F154="Depends",$E154=""),"REVIEW — add scope text",IF($F154="Depends",IF($G154&gt;=Classify!$C$40,"YES","NO"),IF($G154&gt;=Classify!$C$41,"YES","NO")))))</f>
        <v/>
      </c>
      <c r="I154" s="12" t="str">
        <f aca="false">IF($D154="","",INDEX(Doc_Types!$D$2:$D$77,MATCH($D154,DocTypeList,0)))</f>
        <v/>
      </c>
      <c r="J154" s="37" t="str">
        <f aca="false">IF($D154="","",IF($F154="Yes",INDEX(Doc_Types!$E$2:$E$77,MATCH($D154,DocTypeList,0)),IF(LEFT($H154,6)="REVIEW","Type is 'Depends' — classification is decided by content; paste the scope text to resolve.",IF($H154="YES","Type default is '"&amp;$F154&amp;"' but the text contains "&amp;$G154&amp;" controlled technical term(s) — classification follows content (Wassenaar ML22 technology).",INDEX(Doc_Types!$E$2:$E$77,MATCH($D154,DocTypeList,0))&amp;" Text scan: "&amp;$G154&amp;" controlled term(s), below threshold."))))</f>
        <v/>
      </c>
      <c r="K154" s="51" t="str">
        <f aca="false">IF($H154="YES","EXPORT CONTROLLED",IF($H154="NO","NOT EXPORT CONTROLLED",IF($D154="","","— pending review —")))</f>
        <v/>
      </c>
    </row>
    <row r="155" customFormat="false" ht="30" hidden="false" customHeight="true" outlineLevel="0" collapsed="false">
      <c r="A155" s="48" t="n">
        <v>148</v>
      </c>
      <c r="B155" s="25"/>
      <c r="C155" s="25"/>
      <c r="D155" s="25"/>
      <c r="E155" s="25"/>
      <c r="F155" s="50" t="str">
        <f aca="false">IF($D155="","",INDEX(Doc_Types!$C$2:$C$77,MATCH($D155,DocTypeList,0)))</f>
        <v/>
      </c>
      <c r="G155" s="32" t="str">
        <f aca="false">IF($D155="","",IF($E155="",0,SUMPRODUCT(--ISNUMBER(SEARCH(Keywords!$A$2:$A$136,$E155)),--(Keywords!$A$2:$A$136&lt;&gt;""))))</f>
        <v/>
      </c>
      <c r="H155" s="51" t="str">
        <f aca="false">IF($D155="","",IF($F155="Yes","YES",IF(AND($F155="Depends",$E155=""),"REVIEW — add scope text",IF($F155="Depends",IF($G155&gt;=Classify!$C$40,"YES","NO"),IF($G155&gt;=Classify!$C$41,"YES","NO")))))</f>
        <v/>
      </c>
      <c r="I155" s="12" t="str">
        <f aca="false">IF($D155="","",INDEX(Doc_Types!$D$2:$D$77,MATCH($D155,DocTypeList,0)))</f>
        <v/>
      </c>
      <c r="J155" s="37" t="str">
        <f aca="false">IF($D155="","",IF($F155="Yes",INDEX(Doc_Types!$E$2:$E$77,MATCH($D155,DocTypeList,0)),IF(LEFT($H155,6)="REVIEW","Type is 'Depends' — classification is decided by content; paste the scope text to resolve.",IF($H155="YES","Type default is '"&amp;$F155&amp;"' but the text contains "&amp;$G155&amp;" controlled technical term(s) — classification follows content (Wassenaar ML22 technology).",INDEX(Doc_Types!$E$2:$E$77,MATCH($D155,DocTypeList,0))&amp;" Text scan: "&amp;$G155&amp;" controlled term(s), below threshold."))))</f>
        <v/>
      </c>
      <c r="K155" s="51" t="str">
        <f aca="false">IF($H155="YES","EXPORT CONTROLLED",IF($H155="NO","NOT EXPORT CONTROLLED",IF($D155="","","— pending review —")))</f>
        <v/>
      </c>
    </row>
    <row r="156" customFormat="false" ht="30" hidden="false" customHeight="true" outlineLevel="0" collapsed="false">
      <c r="A156" s="48" t="n">
        <v>149</v>
      </c>
      <c r="B156" s="25"/>
      <c r="C156" s="25"/>
      <c r="D156" s="25"/>
      <c r="E156" s="25"/>
      <c r="F156" s="50" t="str">
        <f aca="false">IF($D156="","",INDEX(Doc_Types!$C$2:$C$77,MATCH($D156,DocTypeList,0)))</f>
        <v/>
      </c>
      <c r="G156" s="32" t="str">
        <f aca="false">IF($D156="","",IF($E156="",0,SUMPRODUCT(--ISNUMBER(SEARCH(Keywords!$A$2:$A$136,$E156)),--(Keywords!$A$2:$A$136&lt;&gt;""))))</f>
        <v/>
      </c>
      <c r="H156" s="51" t="str">
        <f aca="false">IF($D156="","",IF($F156="Yes","YES",IF(AND($F156="Depends",$E156=""),"REVIEW — add scope text",IF($F156="Depends",IF($G156&gt;=Classify!$C$40,"YES","NO"),IF($G156&gt;=Classify!$C$41,"YES","NO")))))</f>
        <v/>
      </c>
      <c r="I156" s="12" t="str">
        <f aca="false">IF($D156="","",INDEX(Doc_Types!$D$2:$D$77,MATCH($D156,DocTypeList,0)))</f>
        <v/>
      </c>
      <c r="J156" s="37" t="str">
        <f aca="false">IF($D156="","",IF($F156="Yes",INDEX(Doc_Types!$E$2:$E$77,MATCH($D156,DocTypeList,0)),IF(LEFT($H156,6)="REVIEW","Type is 'Depends' — classification is decided by content; paste the scope text to resolve.",IF($H156="YES","Type default is '"&amp;$F156&amp;"' but the text contains "&amp;$G156&amp;" controlled technical term(s) — classification follows content (Wassenaar ML22 technology).",INDEX(Doc_Types!$E$2:$E$77,MATCH($D156,DocTypeList,0))&amp;" Text scan: "&amp;$G156&amp;" controlled term(s), below threshold."))))</f>
        <v/>
      </c>
      <c r="K156" s="51" t="str">
        <f aca="false">IF($H156="YES","EXPORT CONTROLLED",IF($H156="NO","NOT EXPORT CONTROLLED",IF($D156="","","— pending review —")))</f>
        <v/>
      </c>
    </row>
    <row r="157" customFormat="false" ht="30" hidden="false" customHeight="true" outlineLevel="0" collapsed="false">
      <c r="A157" s="48" t="n">
        <v>150</v>
      </c>
      <c r="B157" s="25"/>
      <c r="C157" s="25"/>
      <c r="D157" s="25"/>
      <c r="E157" s="25"/>
      <c r="F157" s="50" t="str">
        <f aca="false">IF($D157="","",INDEX(Doc_Types!$C$2:$C$77,MATCH($D157,DocTypeList,0)))</f>
        <v/>
      </c>
      <c r="G157" s="32" t="str">
        <f aca="false">IF($D157="","",IF($E157="",0,SUMPRODUCT(--ISNUMBER(SEARCH(Keywords!$A$2:$A$136,$E157)),--(Keywords!$A$2:$A$136&lt;&gt;""))))</f>
        <v/>
      </c>
      <c r="H157" s="51" t="str">
        <f aca="false">IF($D157="","",IF($F157="Yes","YES",IF(AND($F157="Depends",$E157=""),"REVIEW — add scope text",IF($F157="Depends",IF($G157&gt;=Classify!$C$40,"YES","NO"),IF($G157&gt;=Classify!$C$41,"YES","NO")))))</f>
        <v/>
      </c>
      <c r="I157" s="12" t="str">
        <f aca="false">IF($D157="","",INDEX(Doc_Types!$D$2:$D$77,MATCH($D157,DocTypeList,0)))</f>
        <v/>
      </c>
      <c r="J157" s="37" t="str">
        <f aca="false">IF($D157="","",IF($F157="Yes",INDEX(Doc_Types!$E$2:$E$77,MATCH($D157,DocTypeList,0)),IF(LEFT($H157,6)="REVIEW","Type is 'Depends' — classification is decided by content; paste the scope text to resolve.",IF($H157="YES","Type default is '"&amp;$F157&amp;"' but the text contains "&amp;$G157&amp;" controlled technical term(s) — classification follows content (Wassenaar ML22 technology).",INDEX(Doc_Types!$E$2:$E$77,MATCH($D157,DocTypeList,0))&amp;" Text scan: "&amp;$G157&amp;" controlled term(s), below threshold."))))</f>
        <v/>
      </c>
      <c r="K157" s="51" t="str">
        <f aca="false">IF($H157="YES","EXPORT CONTROLLED",IF($H157="NO","NOT EXPORT CONTROLLED",IF($D157="","","— pending review —")))</f>
        <v/>
      </c>
    </row>
    <row r="158" customFormat="false" ht="30" hidden="false" customHeight="true" outlineLevel="0" collapsed="false">
      <c r="A158" s="48" t="n">
        <v>151</v>
      </c>
      <c r="B158" s="25"/>
      <c r="C158" s="25"/>
      <c r="D158" s="25"/>
      <c r="E158" s="25"/>
      <c r="F158" s="50" t="str">
        <f aca="false">IF($D158="","",INDEX(Doc_Types!$C$2:$C$77,MATCH($D158,DocTypeList,0)))</f>
        <v/>
      </c>
      <c r="G158" s="32" t="str">
        <f aca="false">IF($D158="","",IF($E158="",0,SUMPRODUCT(--ISNUMBER(SEARCH(Keywords!$A$2:$A$136,$E158)),--(Keywords!$A$2:$A$136&lt;&gt;""))))</f>
        <v/>
      </c>
      <c r="H158" s="51" t="str">
        <f aca="false">IF($D158="","",IF($F158="Yes","YES",IF(AND($F158="Depends",$E158=""),"REVIEW — add scope text",IF($F158="Depends",IF($G158&gt;=Classify!$C$40,"YES","NO"),IF($G158&gt;=Classify!$C$41,"YES","NO")))))</f>
        <v/>
      </c>
      <c r="I158" s="12" t="str">
        <f aca="false">IF($D158="","",INDEX(Doc_Types!$D$2:$D$77,MATCH($D158,DocTypeList,0)))</f>
        <v/>
      </c>
      <c r="J158" s="37" t="str">
        <f aca="false">IF($D158="","",IF($F158="Yes",INDEX(Doc_Types!$E$2:$E$77,MATCH($D158,DocTypeList,0)),IF(LEFT($H158,6)="REVIEW","Type is 'Depends' — classification is decided by content; paste the scope text to resolve.",IF($H158="YES","Type default is '"&amp;$F158&amp;"' but the text contains "&amp;$G158&amp;" controlled technical term(s) — classification follows content (Wassenaar ML22 technology).",INDEX(Doc_Types!$E$2:$E$77,MATCH($D158,DocTypeList,0))&amp;" Text scan: "&amp;$G158&amp;" controlled term(s), below threshold."))))</f>
        <v/>
      </c>
      <c r="K158" s="51" t="str">
        <f aca="false">IF($H158="YES","EXPORT CONTROLLED",IF($H158="NO","NOT EXPORT CONTROLLED",IF($D158="","","— pending review —")))</f>
        <v/>
      </c>
    </row>
    <row r="159" customFormat="false" ht="30" hidden="false" customHeight="true" outlineLevel="0" collapsed="false">
      <c r="A159" s="48" t="n">
        <v>152</v>
      </c>
      <c r="B159" s="25"/>
      <c r="C159" s="25"/>
      <c r="D159" s="25"/>
      <c r="E159" s="25"/>
      <c r="F159" s="50" t="str">
        <f aca="false">IF($D159="","",INDEX(Doc_Types!$C$2:$C$77,MATCH($D159,DocTypeList,0)))</f>
        <v/>
      </c>
      <c r="G159" s="32" t="str">
        <f aca="false">IF($D159="","",IF($E159="",0,SUMPRODUCT(--ISNUMBER(SEARCH(Keywords!$A$2:$A$136,$E159)),--(Keywords!$A$2:$A$136&lt;&gt;""))))</f>
        <v/>
      </c>
      <c r="H159" s="51" t="str">
        <f aca="false">IF($D159="","",IF($F159="Yes","YES",IF(AND($F159="Depends",$E159=""),"REVIEW — add scope text",IF($F159="Depends",IF($G159&gt;=Classify!$C$40,"YES","NO"),IF($G159&gt;=Classify!$C$41,"YES","NO")))))</f>
        <v/>
      </c>
      <c r="I159" s="12" t="str">
        <f aca="false">IF($D159="","",INDEX(Doc_Types!$D$2:$D$77,MATCH($D159,DocTypeList,0)))</f>
        <v/>
      </c>
      <c r="J159" s="37" t="str">
        <f aca="false">IF($D159="","",IF($F159="Yes",INDEX(Doc_Types!$E$2:$E$77,MATCH($D159,DocTypeList,0)),IF(LEFT($H159,6)="REVIEW","Type is 'Depends' — classification is decided by content; paste the scope text to resolve.",IF($H159="YES","Type default is '"&amp;$F159&amp;"' but the text contains "&amp;$G159&amp;" controlled technical term(s) — classification follows content (Wassenaar ML22 technology).",INDEX(Doc_Types!$E$2:$E$77,MATCH($D159,DocTypeList,0))&amp;" Text scan: "&amp;$G159&amp;" controlled term(s), below threshold."))))</f>
        <v/>
      </c>
      <c r="K159" s="51" t="str">
        <f aca="false">IF($H159="YES","EXPORT CONTROLLED",IF($H159="NO","NOT EXPORT CONTROLLED",IF($D159="","","— pending review —")))</f>
        <v/>
      </c>
    </row>
    <row r="160" customFormat="false" ht="30" hidden="false" customHeight="true" outlineLevel="0" collapsed="false">
      <c r="A160" s="48" t="n">
        <v>153</v>
      </c>
      <c r="B160" s="25"/>
      <c r="C160" s="25"/>
      <c r="D160" s="25"/>
      <c r="E160" s="25"/>
      <c r="F160" s="50" t="str">
        <f aca="false">IF($D160="","",INDEX(Doc_Types!$C$2:$C$77,MATCH($D160,DocTypeList,0)))</f>
        <v/>
      </c>
      <c r="G160" s="32" t="str">
        <f aca="false">IF($D160="","",IF($E160="",0,SUMPRODUCT(--ISNUMBER(SEARCH(Keywords!$A$2:$A$136,$E160)),--(Keywords!$A$2:$A$136&lt;&gt;""))))</f>
        <v/>
      </c>
      <c r="H160" s="51" t="str">
        <f aca="false">IF($D160="","",IF($F160="Yes","YES",IF(AND($F160="Depends",$E160=""),"REVIEW — add scope text",IF($F160="Depends",IF($G160&gt;=Classify!$C$40,"YES","NO"),IF($G160&gt;=Classify!$C$41,"YES","NO")))))</f>
        <v/>
      </c>
      <c r="I160" s="12" t="str">
        <f aca="false">IF($D160="","",INDEX(Doc_Types!$D$2:$D$77,MATCH($D160,DocTypeList,0)))</f>
        <v/>
      </c>
      <c r="J160" s="37" t="str">
        <f aca="false">IF($D160="","",IF($F160="Yes",INDEX(Doc_Types!$E$2:$E$77,MATCH($D160,DocTypeList,0)),IF(LEFT($H160,6)="REVIEW","Type is 'Depends' — classification is decided by content; paste the scope text to resolve.",IF($H160="YES","Type default is '"&amp;$F160&amp;"' but the text contains "&amp;$G160&amp;" controlled technical term(s) — classification follows content (Wassenaar ML22 technology).",INDEX(Doc_Types!$E$2:$E$77,MATCH($D160,DocTypeList,0))&amp;" Text scan: "&amp;$G160&amp;" controlled term(s), below threshold."))))</f>
        <v/>
      </c>
      <c r="K160" s="51" t="str">
        <f aca="false">IF($H160="YES","EXPORT CONTROLLED",IF($H160="NO","NOT EXPORT CONTROLLED",IF($D160="","","— pending review —")))</f>
        <v/>
      </c>
    </row>
    <row r="161" customFormat="false" ht="30" hidden="false" customHeight="true" outlineLevel="0" collapsed="false">
      <c r="A161" s="48" t="n">
        <v>154</v>
      </c>
      <c r="B161" s="25"/>
      <c r="C161" s="25"/>
      <c r="D161" s="25"/>
      <c r="E161" s="25"/>
      <c r="F161" s="50" t="str">
        <f aca="false">IF($D161="","",INDEX(Doc_Types!$C$2:$C$77,MATCH($D161,DocTypeList,0)))</f>
        <v/>
      </c>
      <c r="G161" s="32" t="str">
        <f aca="false">IF($D161="","",IF($E161="",0,SUMPRODUCT(--ISNUMBER(SEARCH(Keywords!$A$2:$A$136,$E161)),--(Keywords!$A$2:$A$136&lt;&gt;""))))</f>
        <v/>
      </c>
      <c r="H161" s="51" t="str">
        <f aca="false">IF($D161="","",IF($F161="Yes","YES",IF(AND($F161="Depends",$E161=""),"REVIEW — add scope text",IF($F161="Depends",IF($G161&gt;=Classify!$C$40,"YES","NO"),IF($G161&gt;=Classify!$C$41,"YES","NO")))))</f>
        <v/>
      </c>
      <c r="I161" s="12" t="str">
        <f aca="false">IF($D161="","",INDEX(Doc_Types!$D$2:$D$77,MATCH($D161,DocTypeList,0)))</f>
        <v/>
      </c>
      <c r="J161" s="37" t="str">
        <f aca="false">IF($D161="","",IF($F161="Yes",INDEX(Doc_Types!$E$2:$E$77,MATCH($D161,DocTypeList,0)),IF(LEFT($H161,6)="REVIEW","Type is 'Depends' — classification is decided by content; paste the scope text to resolve.",IF($H161="YES","Type default is '"&amp;$F161&amp;"' but the text contains "&amp;$G161&amp;" controlled technical term(s) — classification follows content (Wassenaar ML22 technology).",INDEX(Doc_Types!$E$2:$E$77,MATCH($D161,DocTypeList,0))&amp;" Text scan: "&amp;$G161&amp;" controlled term(s), below threshold."))))</f>
        <v/>
      </c>
      <c r="K161" s="51" t="str">
        <f aca="false">IF($H161="YES","EXPORT CONTROLLED",IF($H161="NO","NOT EXPORT CONTROLLED",IF($D161="","","— pending review —")))</f>
        <v/>
      </c>
    </row>
    <row r="162" customFormat="false" ht="30" hidden="false" customHeight="true" outlineLevel="0" collapsed="false">
      <c r="A162" s="48" t="n">
        <v>155</v>
      </c>
      <c r="B162" s="25"/>
      <c r="C162" s="25"/>
      <c r="D162" s="25"/>
      <c r="E162" s="25"/>
      <c r="F162" s="50" t="str">
        <f aca="false">IF($D162="","",INDEX(Doc_Types!$C$2:$C$77,MATCH($D162,DocTypeList,0)))</f>
        <v/>
      </c>
      <c r="G162" s="32" t="str">
        <f aca="false">IF($D162="","",IF($E162="",0,SUMPRODUCT(--ISNUMBER(SEARCH(Keywords!$A$2:$A$136,$E162)),--(Keywords!$A$2:$A$136&lt;&gt;""))))</f>
        <v/>
      </c>
      <c r="H162" s="51" t="str">
        <f aca="false">IF($D162="","",IF($F162="Yes","YES",IF(AND($F162="Depends",$E162=""),"REVIEW — add scope text",IF($F162="Depends",IF($G162&gt;=Classify!$C$40,"YES","NO"),IF($G162&gt;=Classify!$C$41,"YES","NO")))))</f>
        <v/>
      </c>
      <c r="I162" s="12" t="str">
        <f aca="false">IF($D162="","",INDEX(Doc_Types!$D$2:$D$77,MATCH($D162,DocTypeList,0)))</f>
        <v/>
      </c>
      <c r="J162" s="37" t="str">
        <f aca="false">IF($D162="","",IF($F162="Yes",INDEX(Doc_Types!$E$2:$E$77,MATCH($D162,DocTypeList,0)),IF(LEFT($H162,6)="REVIEW","Type is 'Depends' — classification is decided by content; paste the scope text to resolve.",IF($H162="YES","Type default is '"&amp;$F162&amp;"' but the text contains "&amp;$G162&amp;" controlled technical term(s) — classification follows content (Wassenaar ML22 technology).",INDEX(Doc_Types!$E$2:$E$77,MATCH($D162,DocTypeList,0))&amp;" Text scan: "&amp;$G162&amp;" controlled term(s), below threshold."))))</f>
        <v/>
      </c>
      <c r="K162" s="51" t="str">
        <f aca="false">IF($H162="YES","EXPORT CONTROLLED",IF($H162="NO","NOT EXPORT CONTROLLED",IF($D162="","","— pending review —")))</f>
        <v/>
      </c>
    </row>
    <row r="163" customFormat="false" ht="30" hidden="false" customHeight="true" outlineLevel="0" collapsed="false">
      <c r="A163" s="48" t="n">
        <v>156</v>
      </c>
      <c r="B163" s="25"/>
      <c r="C163" s="25"/>
      <c r="D163" s="25"/>
      <c r="E163" s="25"/>
      <c r="F163" s="50" t="str">
        <f aca="false">IF($D163="","",INDEX(Doc_Types!$C$2:$C$77,MATCH($D163,DocTypeList,0)))</f>
        <v/>
      </c>
      <c r="G163" s="32" t="str">
        <f aca="false">IF($D163="","",IF($E163="",0,SUMPRODUCT(--ISNUMBER(SEARCH(Keywords!$A$2:$A$136,$E163)),--(Keywords!$A$2:$A$136&lt;&gt;""))))</f>
        <v/>
      </c>
      <c r="H163" s="51" t="str">
        <f aca="false">IF($D163="","",IF($F163="Yes","YES",IF(AND($F163="Depends",$E163=""),"REVIEW — add scope text",IF($F163="Depends",IF($G163&gt;=Classify!$C$40,"YES","NO"),IF($G163&gt;=Classify!$C$41,"YES","NO")))))</f>
        <v/>
      </c>
      <c r="I163" s="12" t="str">
        <f aca="false">IF($D163="","",INDEX(Doc_Types!$D$2:$D$77,MATCH($D163,DocTypeList,0)))</f>
        <v/>
      </c>
      <c r="J163" s="37" t="str">
        <f aca="false">IF($D163="","",IF($F163="Yes",INDEX(Doc_Types!$E$2:$E$77,MATCH($D163,DocTypeList,0)),IF(LEFT($H163,6)="REVIEW","Type is 'Depends' — classification is decided by content; paste the scope text to resolve.",IF($H163="YES","Type default is '"&amp;$F163&amp;"' but the text contains "&amp;$G163&amp;" controlled technical term(s) — classification follows content (Wassenaar ML22 technology).",INDEX(Doc_Types!$E$2:$E$77,MATCH($D163,DocTypeList,0))&amp;" Text scan: "&amp;$G163&amp;" controlled term(s), below threshold."))))</f>
        <v/>
      </c>
      <c r="K163" s="51" t="str">
        <f aca="false">IF($H163="YES","EXPORT CONTROLLED",IF($H163="NO","NOT EXPORT CONTROLLED",IF($D163="","","— pending review —")))</f>
        <v/>
      </c>
    </row>
    <row r="164" customFormat="false" ht="30" hidden="false" customHeight="true" outlineLevel="0" collapsed="false">
      <c r="A164" s="48" t="n">
        <v>157</v>
      </c>
      <c r="B164" s="25"/>
      <c r="C164" s="25"/>
      <c r="D164" s="25"/>
      <c r="E164" s="25"/>
      <c r="F164" s="50" t="str">
        <f aca="false">IF($D164="","",INDEX(Doc_Types!$C$2:$C$77,MATCH($D164,DocTypeList,0)))</f>
        <v/>
      </c>
      <c r="G164" s="32" t="str">
        <f aca="false">IF($D164="","",IF($E164="",0,SUMPRODUCT(--ISNUMBER(SEARCH(Keywords!$A$2:$A$136,$E164)),--(Keywords!$A$2:$A$136&lt;&gt;""))))</f>
        <v/>
      </c>
      <c r="H164" s="51" t="str">
        <f aca="false">IF($D164="","",IF($F164="Yes","YES",IF(AND($F164="Depends",$E164=""),"REVIEW — add scope text",IF($F164="Depends",IF($G164&gt;=Classify!$C$40,"YES","NO"),IF($G164&gt;=Classify!$C$41,"YES","NO")))))</f>
        <v/>
      </c>
      <c r="I164" s="12" t="str">
        <f aca="false">IF($D164="","",INDEX(Doc_Types!$D$2:$D$77,MATCH($D164,DocTypeList,0)))</f>
        <v/>
      </c>
      <c r="J164" s="37" t="str">
        <f aca="false">IF($D164="","",IF($F164="Yes",INDEX(Doc_Types!$E$2:$E$77,MATCH($D164,DocTypeList,0)),IF(LEFT($H164,6)="REVIEW","Type is 'Depends' — classification is decided by content; paste the scope text to resolve.",IF($H164="YES","Type default is '"&amp;$F164&amp;"' but the text contains "&amp;$G164&amp;" controlled technical term(s) — classification follows content (Wassenaar ML22 technology).",INDEX(Doc_Types!$E$2:$E$77,MATCH($D164,DocTypeList,0))&amp;" Text scan: "&amp;$G164&amp;" controlled term(s), below threshold."))))</f>
        <v/>
      </c>
      <c r="K164" s="51" t="str">
        <f aca="false">IF($H164="YES","EXPORT CONTROLLED",IF($H164="NO","NOT EXPORT CONTROLLED",IF($D164="","","— pending review —")))</f>
        <v/>
      </c>
    </row>
    <row r="165" customFormat="false" ht="30" hidden="false" customHeight="true" outlineLevel="0" collapsed="false">
      <c r="A165" s="48" t="n">
        <v>158</v>
      </c>
      <c r="B165" s="25"/>
      <c r="C165" s="25"/>
      <c r="D165" s="25"/>
      <c r="E165" s="25"/>
      <c r="F165" s="50" t="str">
        <f aca="false">IF($D165="","",INDEX(Doc_Types!$C$2:$C$77,MATCH($D165,DocTypeList,0)))</f>
        <v/>
      </c>
      <c r="G165" s="32" t="str">
        <f aca="false">IF($D165="","",IF($E165="",0,SUMPRODUCT(--ISNUMBER(SEARCH(Keywords!$A$2:$A$136,$E165)),--(Keywords!$A$2:$A$136&lt;&gt;""))))</f>
        <v/>
      </c>
      <c r="H165" s="51" t="str">
        <f aca="false">IF($D165="","",IF($F165="Yes","YES",IF(AND($F165="Depends",$E165=""),"REVIEW — add scope text",IF($F165="Depends",IF($G165&gt;=Classify!$C$40,"YES","NO"),IF($G165&gt;=Classify!$C$41,"YES","NO")))))</f>
        <v/>
      </c>
      <c r="I165" s="12" t="str">
        <f aca="false">IF($D165="","",INDEX(Doc_Types!$D$2:$D$77,MATCH($D165,DocTypeList,0)))</f>
        <v/>
      </c>
      <c r="J165" s="37" t="str">
        <f aca="false">IF($D165="","",IF($F165="Yes",INDEX(Doc_Types!$E$2:$E$77,MATCH($D165,DocTypeList,0)),IF(LEFT($H165,6)="REVIEW","Type is 'Depends' — classification is decided by content; paste the scope text to resolve.",IF($H165="YES","Type default is '"&amp;$F165&amp;"' but the text contains "&amp;$G165&amp;" controlled technical term(s) — classification follows content (Wassenaar ML22 technology).",INDEX(Doc_Types!$E$2:$E$77,MATCH($D165,DocTypeList,0))&amp;" Text scan: "&amp;$G165&amp;" controlled term(s), below threshold."))))</f>
        <v/>
      </c>
      <c r="K165" s="51" t="str">
        <f aca="false">IF($H165="YES","EXPORT CONTROLLED",IF($H165="NO","NOT EXPORT CONTROLLED",IF($D165="","","— pending review —")))</f>
        <v/>
      </c>
    </row>
    <row r="166" customFormat="false" ht="30" hidden="false" customHeight="true" outlineLevel="0" collapsed="false">
      <c r="A166" s="48" t="n">
        <v>159</v>
      </c>
      <c r="B166" s="25"/>
      <c r="C166" s="25"/>
      <c r="D166" s="25"/>
      <c r="E166" s="25"/>
      <c r="F166" s="50" t="str">
        <f aca="false">IF($D166="","",INDEX(Doc_Types!$C$2:$C$77,MATCH($D166,DocTypeList,0)))</f>
        <v/>
      </c>
      <c r="G166" s="32" t="str">
        <f aca="false">IF($D166="","",IF($E166="",0,SUMPRODUCT(--ISNUMBER(SEARCH(Keywords!$A$2:$A$136,$E166)),--(Keywords!$A$2:$A$136&lt;&gt;""))))</f>
        <v/>
      </c>
      <c r="H166" s="51" t="str">
        <f aca="false">IF($D166="","",IF($F166="Yes","YES",IF(AND($F166="Depends",$E166=""),"REVIEW — add scope text",IF($F166="Depends",IF($G166&gt;=Classify!$C$40,"YES","NO"),IF($G166&gt;=Classify!$C$41,"YES","NO")))))</f>
        <v/>
      </c>
      <c r="I166" s="12" t="str">
        <f aca="false">IF($D166="","",INDEX(Doc_Types!$D$2:$D$77,MATCH($D166,DocTypeList,0)))</f>
        <v/>
      </c>
      <c r="J166" s="37" t="str">
        <f aca="false">IF($D166="","",IF($F166="Yes",INDEX(Doc_Types!$E$2:$E$77,MATCH($D166,DocTypeList,0)),IF(LEFT($H166,6)="REVIEW","Type is 'Depends' — classification is decided by content; paste the scope text to resolve.",IF($H166="YES","Type default is '"&amp;$F166&amp;"' but the text contains "&amp;$G166&amp;" controlled technical term(s) — classification follows content (Wassenaar ML22 technology).",INDEX(Doc_Types!$E$2:$E$77,MATCH($D166,DocTypeList,0))&amp;" Text scan: "&amp;$G166&amp;" controlled term(s), below threshold."))))</f>
        <v/>
      </c>
      <c r="K166" s="51" t="str">
        <f aca="false">IF($H166="YES","EXPORT CONTROLLED",IF($H166="NO","NOT EXPORT CONTROLLED",IF($D166="","","— pending review —")))</f>
        <v/>
      </c>
    </row>
    <row r="167" customFormat="false" ht="30" hidden="false" customHeight="true" outlineLevel="0" collapsed="false">
      <c r="A167" s="48" t="n">
        <v>160</v>
      </c>
      <c r="B167" s="25"/>
      <c r="C167" s="25"/>
      <c r="D167" s="25"/>
      <c r="E167" s="25"/>
      <c r="F167" s="50" t="str">
        <f aca="false">IF($D167="","",INDEX(Doc_Types!$C$2:$C$77,MATCH($D167,DocTypeList,0)))</f>
        <v/>
      </c>
      <c r="G167" s="32" t="str">
        <f aca="false">IF($D167="","",IF($E167="",0,SUMPRODUCT(--ISNUMBER(SEARCH(Keywords!$A$2:$A$136,$E167)),--(Keywords!$A$2:$A$136&lt;&gt;""))))</f>
        <v/>
      </c>
      <c r="H167" s="51" t="str">
        <f aca="false">IF($D167="","",IF($F167="Yes","YES",IF(AND($F167="Depends",$E167=""),"REVIEW — add scope text",IF($F167="Depends",IF($G167&gt;=Classify!$C$40,"YES","NO"),IF($G167&gt;=Classify!$C$41,"YES","NO")))))</f>
        <v/>
      </c>
      <c r="I167" s="12" t="str">
        <f aca="false">IF($D167="","",INDEX(Doc_Types!$D$2:$D$77,MATCH($D167,DocTypeList,0)))</f>
        <v/>
      </c>
      <c r="J167" s="37" t="str">
        <f aca="false">IF($D167="","",IF($F167="Yes",INDEX(Doc_Types!$E$2:$E$77,MATCH($D167,DocTypeList,0)),IF(LEFT($H167,6)="REVIEW","Type is 'Depends' — classification is decided by content; paste the scope text to resolve.",IF($H167="YES","Type default is '"&amp;$F167&amp;"' but the text contains "&amp;$G167&amp;" controlled technical term(s) — classification follows content (Wassenaar ML22 technology).",INDEX(Doc_Types!$E$2:$E$77,MATCH($D167,DocTypeList,0))&amp;" Text scan: "&amp;$G167&amp;" controlled term(s), below threshold."))))</f>
        <v/>
      </c>
      <c r="K167" s="51" t="str">
        <f aca="false">IF($H167="YES","EXPORT CONTROLLED",IF($H167="NO","NOT EXPORT CONTROLLED",IF($D167="","","— pending review —")))</f>
        <v/>
      </c>
    </row>
    <row r="168" customFormat="false" ht="30" hidden="false" customHeight="true" outlineLevel="0" collapsed="false">
      <c r="A168" s="48" t="n">
        <v>161</v>
      </c>
      <c r="B168" s="25"/>
      <c r="C168" s="25"/>
      <c r="D168" s="25"/>
      <c r="E168" s="25"/>
      <c r="F168" s="50" t="str">
        <f aca="false">IF($D168="","",INDEX(Doc_Types!$C$2:$C$77,MATCH($D168,DocTypeList,0)))</f>
        <v/>
      </c>
      <c r="G168" s="32" t="str">
        <f aca="false">IF($D168="","",IF($E168="",0,SUMPRODUCT(--ISNUMBER(SEARCH(Keywords!$A$2:$A$136,$E168)),--(Keywords!$A$2:$A$136&lt;&gt;""))))</f>
        <v/>
      </c>
      <c r="H168" s="51" t="str">
        <f aca="false">IF($D168="","",IF($F168="Yes","YES",IF(AND($F168="Depends",$E168=""),"REVIEW — add scope text",IF($F168="Depends",IF($G168&gt;=Classify!$C$40,"YES","NO"),IF($G168&gt;=Classify!$C$41,"YES","NO")))))</f>
        <v/>
      </c>
      <c r="I168" s="12" t="str">
        <f aca="false">IF($D168="","",INDEX(Doc_Types!$D$2:$D$77,MATCH($D168,DocTypeList,0)))</f>
        <v/>
      </c>
      <c r="J168" s="37" t="str">
        <f aca="false">IF($D168="","",IF($F168="Yes",INDEX(Doc_Types!$E$2:$E$77,MATCH($D168,DocTypeList,0)),IF(LEFT($H168,6)="REVIEW","Type is 'Depends' — classification is decided by content; paste the scope text to resolve.",IF($H168="YES","Type default is '"&amp;$F168&amp;"' but the text contains "&amp;$G168&amp;" controlled technical term(s) — classification follows content (Wassenaar ML22 technology).",INDEX(Doc_Types!$E$2:$E$77,MATCH($D168,DocTypeList,0))&amp;" Text scan: "&amp;$G168&amp;" controlled term(s), below threshold."))))</f>
        <v/>
      </c>
      <c r="K168" s="51" t="str">
        <f aca="false">IF($H168="YES","EXPORT CONTROLLED",IF($H168="NO","NOT EXPORT CONTROLLED",IF($D168="","","— pending review —")))</f>
        <v/>
      </c>
    </row>
    <row r="169" customFormat="false" ht="30" hidden="false" customHeight="true" outlineLevel="0" collapsed="false">
      <c r="A169" s="48" t="n">
        <v>162</v>
      </c>
      <c r="B169" s="25"/>
      <c r="C169" s="25"/>
      <c r="D169" s="25"/>
      <c r="E169" s="25"/>
      <c r="F169" s="50" t="str">
        <f aca="false">IF($D169="","",INDEX(Doc_Types!$C$2:$C$77,MATCH($D169,DocTypeList,0)))</f>
        <v/>
      </c>
      <c r="G169" s="32" t="str">
        <f aca="false">IF($D169="","",IF($E169="",0,SUMPRODUCT(--ISNUMBER(SEARCH(Keywords!$A$2:$A$136,$E169)),--(Keywords!$A$2:$A$136&lt;&gt;""))))</f>
        <v/>
      </c>
      <c r="H169" s="51" t="str">
        <f aca="false">IF($D169="","",IF($F169="Yes","YES",IF(AND($F169="Depends",$E169=""),"REVIEW — add scope text",IF($F169="Depends",IF($G169&gt;=Classify!$C$40,"YES","NO"),IF($G169&gt;=Classify!$C$41,"YES","NO")))))</f>
        <v/>
      </c>
      <c r="I169" s="12" t="str">
        <f aca="false">IF($D169="","",INDEX(Doc_Types!$D$2:$D$77,MATCH($D169,DocTypeList,0)))</f>
        <v/>
      </c>
      <c r="J169" s="37" t="str">
        <f aca="false">IF($D169="","",IF($F169="Yes",INDEX(Doc_Types!$E$2:$E$77,MATCH($D169,DocTypeList,0)),IF(LEFT($H169,6)="REVIEW","Type is 'Depends' — classification is decided by content; paste the scope text to resolve.",IF($H169="YES","Type default is '"&amp;$F169&amp;"' but the text contains "&amp;$G169&amp;" controlled technical term(s) — classification follows content (Wassenaar ML22 technology).",INDEX(Doc_Types!$E$2:$E$77,MATCH($D169,DocTypeList,0))&amp;" Text scan: "&amp;$G169&amp;" controlled term(s), below threshold."))))</f>
        <v/>
      </c>
      <c r="K169" s="51" t="str">
        <f aca="false">IF($H169="YES","EXPORT CONTROLLED",IF($H169="NO","NOT EXPORT CONTROLLED",IF($D169="","","— pending review —")))</f>
        <v/>
      </c>
    </row>
    <row r="170" customFormat="false" ht="30" hidden="false" customHeight="true" outlineLevel="0" collapsed="false">
      <c r="A170" s="48" t="n">
        <v>163</v>
      </c>
      <c r="B170" s="25"/>
      <c r="C170" s="25"/>
      <c r="D170" s="25"/>
      <c r="E170" s="25"/>
      <c r="F170" s="50" t="str">
        <f aca="false">IF($D170="","",INDEX(Doc_Types!$C$2:$C$77,MATCH($D170,DocTypeList,0)))</f>
        <v/>
      </c>
      <c r="G170" s="32" t="str">
        <f aca="false">IF($D170="","",IF($E170="",0,SUMPRODUCT(--ISNUMBER(SEARCH(Keywords!$A$2:$A$136,$E170)),--(Keywords!$A$2:$A$136&lt;&gt;""))))</f>
        <v/>
      </c>
      <c r="H170" s="51" t="str">
        <f aca="false">IF($D170="","",IF($F170="Yes","YES",IF(AND($F170="Depends",$E170=""),"REVIEW — add scope text",IF($F170="Depends",IF($G170&gt;=Classify!$C$40,"YES","NO"),IF($G170&gt;=Classify!$C$41,"YES","NO")))))</f>
        <v/>
      </c>
      <c r="I170" s="12" t="str">
        <f aca="false">IF($D170="","",INDEX(Doc_Types!$D$2:$D$77,MATCH($D170,DocTypeList,0)))</f>
        <v/>
      </c>
      <c r="J170" s="37" t="str">
        <f aca="false">IF($D170="","",IF($F170="Yes",INDEX(Doc_Types!$E$2:$E$77,MATCH($D170,DocTypeList,0)),IF(LEFT($H170,6)="REVIEW","Type is 'Depends' — classification is decided by content; paste the scope text to resolve.",IF($H170="YES","Type default is '"&amp;$F170&amp;"' but the text contains "&amp;$G170&amp;" controlled technical term(s) — classification follows content (Wassenaar ML22 technology).",INDEX(Doc_Types!$E$2:$E$77,MATCH($D170,DocTypeList,0))&amp;" Text scan: "&amp;$G170&amp;" controlled term(s), below threshold."))))</f>
        <v/>
      </c>
      <c r="K170" s="51" t="str">
        <f aca="false">IF($H170="YES","EXPORT CONTROLLED",IF($H170="NO","NOT EXPORT CONTROLLED",IF($D170="","","— pending review —")))</f>
        <v/>
      </c>
    </row>
    <row r="171" customFormat="false" ht="30" hidden="false" customHeight="true" outlineLevel="0" collapsed="false">
      <c r="A171" s="48" t="n">
        <v>164</v>
      </c>
      <c r="B171" s="25"/>
      <c r="C171" s="25"/>
      <c r="D171" s="25"/>
      <c r="E171" s="25"/>
      <c r="F171" s="50" t="str">
        <f aca="false">IF($D171="","",INDEX(Doc_Types!$C$2:$C$77,MATCH($D171,DocTypeList,0)))</f>
        <v/>
      </c>
      <c r="G171" s="32" t="str">
        <f aca="false">IF($D171="","",IF($E171="",0,SUMPRODUCT(--ISNUMBER(SEARCH(Keywords!$A$2:$A$136,$E171)),--(Keywords!$A$2:$A$136&lt;&gt;""))))</f>
        <v/>
      </c>
      <c r="H171" s="51" t="str">
        <f aca="false">IF($D171="","",IF($F171="Yes","YES",IF(AND($F171="Depends",$E171=""),"REVIEW — add scope text",IF($F171="Depends",IF($G171&gt;=Classify!$C$40,"YES","NO"),IF($G171&gt;=Classify!$C$41,"YES","NO")))))</f>
        <v/>
      </c>
      <c r="I171" s="12" t="str">
        <f aca="false">IF($D171="","",INDEX(Doc_Types!$D$2:$D$77,MATCH($D171,DocTypeList,0)))</f>
        <v/>
      </c>
      <c r="J171" s="37" t="str">
        <f aca="false">IF($D171="","",IF($F171="Yes",INDEX(Doc_Types!$E$2:$E$77,MATCH($D171,DocTypeList,0)),IF(LEFT($H171,6)="REVIEW","Type is 'Depends' — classification is decided by content; paste the scope text to resolve.",IF($H171="YES","Type default is '"&amp;$F171&amp;"' but the text contains "&amp;$G171&amp;" controlled technical term(s) — classification follows content (Wassenaar ML22 technology).",INDEX(Doc_Types!$E$2:$E$77,MATCH($D171,DocTypeList,0))&amp;" Text scan: "&amp;$G171&amp;" controlled term(s), below threshold."))))</f>
        <v/>
      </c>
      <c r="K171" s="51" t="str">
        <f aca="false">IF($H171="YES","EXPORT CONTROLLED",IF($H171="NO","NOT EXPORT CONTROLLED",IF($D171="","","— pending review —")))</f>
        <v/>
      </c>
    </row>
    <row r="172" customFormat="false" ht="30" hidden="false" customHeight="true" outlineLevel="0" collapsed="false">
      <c r="A172" s="48" t="n">
        <v>165</v>
      </c>
      <c r="B172" s="25"/>
      <c r="C172" s="25"/>
      <c r="D172" s="25"/>
      <c r="E172" s="25"/>
      <c r="F172" s="50" t="str">
        <f aca="false">IF($D172="","",INDEX(Doc_Types!$C$2:$C$77,MATCH($D172,DocTypeList,0)))</f>
        <v/>
      </c>
      <c r="G172" s="32" t="str">
        <f aca="false">IF($D172="","",IF($E172="",0,SUMPRODUCT(--ISNUMBER(SEARCH(Keywords!$A$2:$A$136,$E172)),--(Keywords!$A$2:$A$136&lt;&gt;""))))</f>
        <v/>
      </c>
      <c r="H172" s="51" t="str">
        <f aca="false">IF($D172="","",IF($F172="Yes","YES",IF(AND($F172="Depends",$E172=""),"REVIEW — add scope text",IF($F172="Depends",IF($G172&gt;=Classify!$C$40,"YES","NO"),IF($G172&gt;=Classify!$C$41,"YES","NO")))))</f>
        <v/>
      </c>
      <c r="I172" s="12" t="str">
        <f aca="false">IF($D172="","",INDEX(Doc_Types!$D$2:$D$77,MATCH($D172,DocTypeList,0)))</f>
        <v/>
      </c>
      <c r="J172" s="37" t="str">
        <f aca="false">IF($D172="","",IF($F172="Yes",INDEX(Doc_Types!$E$2:$E$77,MATCH($D172,DocTypeList,0)),IF(LEFT($H172,6)="REVIEW","Type is 'Depends' — classification is decided by content; paste the scope text to resolve.",IF($H172="YES","Type default is '"&amp;$F172&amp;"' but the text contains "&amp;$G172&amp;" controlled technical term(s) — classification follows content (Wassenaar ML22 technology).",INDEX(Doc_Types!$E$2:$E$77,MATCH($D172,DocTypeList,0))&amp;" Text scan: "&amp;$G172&amp;" controlled term(s), below threshold."))))</f>
        <v/>
      </c>
      <c r="K172" s="51" t="str">
        <f aca="false">IF($H172="YES","EXPORT CONTROLLED",IF($H172="NO","NOT EXPORT CONTROLLED",IF($D172="","","— pending review —")))</f>
        <v/>
      </c>
    </row>
    <row r="173" customFormat="false" ht="30" hidden="false" customHeight="true" outlineLevel="0" collapsed="false">
      <c r="A173" s="48" t="n">
        <v>166</v>
      </c>
      <c r="B173" s="25"/>
      <c r="C173" s="25"/>
      <c r="D173" s="25"/>
      <c r="E173" s="25"/>
      <c r="F173" s="50" t="str">
        <f aca="false">IF($D173="","",INDEX(Doc_Types!$C$2:$C$77,MATCH($D173,DocTypeList,0)))</f>
        <v/>
      </c>
      <c r="G173" s="32" t="str">
        <f aca="false">IF($D173="","",IF($E173="",0,SUMPRODUCT(--ISNUMBER(SEARCH(Keywords!$A$2:$A$136,$E173)),--(Keywords!$A$2:$A$136&lt;&gt;""))))</f>
        <v/>
      </c>
      <c r="H173" s="51" t="str">
        <f aca="false">IF($D173="","",IF($F173="Yes","YES",IF(AND($F173="Depends",$E173=""),"REVIEW — add scope text",IF($F173="Depends",IF($G173&gt;=Classify!$C$40,"YES","NO"),IF($G173&gt;=Classify!$C$41,"YES","NO")))))</f>
        <v/>
      </c>
      <c r="I173" s="12" t="str">
        <f aca="false">IF($D173="","",INDEX(Doc_Types!$D$2:$D$77,MATCH($D173,DocTypeList,0)))</f>
        <v/>
      </c>
      <c r="J173" s="37" t="str">
        <f aca="false">IF($D173="","",IF($F173="Yes",INDEX(Doc_Types!$E$2:$E$77,MATCH($D173,DocTypeList,0)),IF(LEFT($H173,6)="REVIEW","Type is 'Depends' — classification is decided by content; paste the scope text to resolve.",IF($H173="YES","Type default is '"&amp;$F173&amp;"' but the text contains "&amp;$G173&amp;" controlled technical term(s) — classification follows content (Wassenaar ML22 technology).",INDEX(Doc_Types!$E$2:$E$77,MATCH($D173,DocTypeList,0))&amp;" Text scan: "&amp;$G173&amp;" controlled term(s), below threshold."))))</f>
        <v/>
      </c>
      <c r="K173" s="51" t="str">
        <f aca="false">IF($H173="YES","EXPORT CONTROLLED",IF($H173="NO","NOT EXPORT CONTROLLED",IF($D173="","","— pending review —")))</f>
        <v/>
      </c>
    </row>
    <row r="174" customFormat="false" ht="30" hidden="false" customHeight="true" outlineLevel="0" collapsed="false">
      <c r="A174" s="48" t="n">
        <v>167</v>
      </c>
      <c r="B174" s="25"/>
      <c r="C174" s="25"/>
      <c r="D174" s="25"/>
      <c r="E174" s="25"/>
      <c r="F174" s="50" t="str">
        <f aca="false">IF($D174="","",INDEX(Doc_Types!$C$2:$C$77,MATCH($D174,DocTypeList,0)))</f>
        <v/>
      </c>
      <c r="G174" s="32" t="str">
        <f aca="false">IF($D174="","",IF($E174="",0,SUMPRODUCT(--ISNUMBER(SEARCH(Keywords!$A$2:$A$136,$E174)),--(Keywords!$A$2:$A$136&lt;&gt;""))))</f>
        <v/>
      </c>
      <c r="H174" s="51" t="str">
        <f aca="false">IF($D174="","",IF($F174="Yes","YES",IF(AND($F174="Depends",$E174=""),"REVIEW — add scope text",IF($F174="Depends",IF($G174&gt;=Classify!$C$40,"YES","NO"),IF($G174&gt;=Classify!$C$41,"YES","NO")))))</f>
        <v/>
      </c>
      <c r="I174" s="12" t="str">
        <f aca="false">IF($D174="","",INDEX(Doc_Types!$D$2:$D$77,MATCH($D174,DocTypeList,0)))</f>
        <v/>
      </c>
      <c r="J174" s="37" t="str">
        <f aca="false">IF($D174="","",IF($F174="Yes",INDEX(Doc_Types!$E$2:$E$77,MATCH($D174,DocTypeList,0)),IF(LEFT($H174,6)="REVIEW","Type is 'Depends' — classification is decided by content; paste the scope text to resolve.",IF($H174="YES","Type default is '"&amp;$F174&amp;"' but the text contains "&amp;$G174&amp;" controlled technical term(s) — classification follows content (Wassenaar ML22 technology).",INDEX(Doc_Types!$E$2:$E$77,MATCH($D174,DocTypeList,0))&amp;" Text scan: "&amp;$G174&amp;" controlled term(s), below threshold."))))</f>
        <v/>
      </c>
      <c r="K174" s="51" t="str">
        <f aca="false">IF($H174="YES","EXPORT CONTROLLED",IF($H174="NO","NOT EXPORT CONTROLLED",IF($D174="","","— pending review —")))</f>
        <v/>
      </c>
    </row>
    <row r="175" customFormat="false" ht="30" hidden="false" customHeight="true" outlineLevel="0" collapsed="false">
      <c r="A175" s="48" t="n">
        <v>168</v>
      </c>
      <c r="B175" s="25"/>
      <c r="C175" s="25"/>
      <c r="D175" s="25"/>
      <c r="E175" s="25"/>
      <c r="F175" s="50" t="str">
        <f aca="false">IF($D175="","",INDEX(Doc_Types!$C$2:$C$77,MATCH($D175,DocTypeList,0)))</f>
        <v/>
      </c>
      <c r="G175" s="32" t="str">
        <f aca="false">IF($D175="","",IF($E175="",0,SUMPRODUCT(--ISNUMBER(SEARCH(Keywords!$A$2:$A$136,$E175)),--(Keywords!$A$2:$A$136&lt;&gt;""))))</f>
        <v/>
      </c>
      <c r="H175" s="51" t="str">
        <f aca="false">IF($D175="","",IF($F175="Yes","YES",IF(AND($F175="Depends",$E175=""),"REVIEW — add scope text",IF($F175="Depends",IF($G175&gt;=Classify!$C$40,"YES","NO"),IF($G175&gt;=Classify!$C$41,"YES","NO")))))</f>
        <v/>
      </c>
      <c r="I175" s="12" t="str">
        <f aca="false">IF($D175="","",INDEX(Doc_Types!$D$2:$D$77,MATCH($D175,DocTypeList,0)))</f>
        <v/>
      </c>
      <c r="J175" s="37" t="str">
        <f aca="false">IF($D175="","",IF($F175="Yes",INDEX(Doc_Types!$E$2:$E$77,MATCH($D175,DocTypeList,0)),IF(LEFT($H175,6)="REVIEW","Type is 'Depends' — classification is decided by content; paste the scope text to resolve.",IF($H175="YES","Type default is '"&amp;$F175&amp;"' but the text contains "&amp;$G175&amp;" controlled technical term(s) — classification follows content (Wassenaar ML22 technology).",INDEX(Doc_Types!$E$2:$E$77,MATCH($D175,DocTypeList,0))&amp;" Text scan: "&amp;$G175&amp;" controlled term(s), below threshold."))))</f>
        <v/>
      </c>
      <c r="K175" s="51" t="str">
        <f aca="false">IF($H175="YES","EXPORT CONTROLLED",IF($H175="NO","NOT EXPORT CONTROLLED",IF($D175="","","— pending review —")))</f>
        <v/>
      </c>
    </row>
    <row r="176" customFormat="false" ht="30" hidden="false" customHeight="true" outlineLevel="0" collapsed="false">
      <c r="A176" s="48" t="n">
        <v>169</v>
      </c>
      <c r="B176" s="25"/>
      <c r="C176" s="25"/>
      <c r="D176" s="25"/>
      <c r="E176" s="25"/>
      <c r="F176" s="50" t="str">
        <f aca="false">IF($D176="","",INDEX(Doc_Types!$C$2:$C$77,MATCH($D176,DocTypeList,0)))</f>
        <v/>
      </c>
      <c r="G176" s="32" t="str">
        <f aca="false">IF($D176="","",IF($E176="",0,SUMPRODUCT(--ISNUMBER(SEARCH(Keywords!$A$2:$A$136,$E176)),--(Keywords!$A$2:$A$136&lt;&gt;""))))</f>
        <v/>
      </c>
      <c r="H176" s="51" t="str">
        <f aca="false">IF($D176="","",IF($F176="Yes","YES",IF(AND($F176="Depends",$E176=""),"REVIEW — add scope text",IF($F176="Depends",IF($G176&gt;=Classify!$C$40,"YES","NO"),IF($G176&gt;=Classify!$C$41,"YES","NO")))))</f>
        <v/>
      </c>
      <c r="I176" s="12" t="str">
        <f aca="false">IF($D176="","",INDEX(Doc_Types!$D$2:$D$77,MATCH($D176,DocTypeList,0)))</f>
        <v/>
      </c>
      <c r="J176" s="37" t="str">
        <f aca="false">IF($D176="","",IF($F176="Yes",INDEX(Doc_Types!$E$2:$E$77,MATCH($D176,DocTypeList,0)),IF(LEFT($H176,6)="REVIEW","Type is 'Depends' — classification is decided by content; paste the scope text to resolve.",IF($H176="YES","Type default is '"&amp;$F176&amp;"' but the text contains "&amp;$G176&amp;" controlled technical term(s) — classification follows content (Wassenaar ML22 technology).",INDEX(Doc_Types!$E$2:$E$77,MATCH($D176,DocTypeList,0))&amp;" Text scan: "&amp;$G176&amp;" controlled term(s), below threshold."))))</f>
        <v/>
      </c>
      <c r="K176" s="51" t="str">
        <f aca="false">IF($H176="YES","EXPORT CONTROLLED",IF($H176="NO","NOT EXPORT CONTROLLED",IF($D176="","","— pending review —")))</f>
        <v/>
      </c>
    </row>
    <row r="177" customFormat="false" ht="30" hidden="false" customHeight="true" outlineLevel="0" collapsed="false">
      <c r="A177" s="48" t="n">
        <v>170</v>
      </c>
      <c r="B177" s="25"/>
      <c r="C177" s="25"/>
      <c r="D177" s="25"/>
      <c r="E177" s="25"/>
      <c r="F177" s="50" t="str">
        <f aca="false">IF($D177="","",INDEX(Doc_Types!$C$2:$C$77,MATCH($D177,DocTypeList,0)))</f>
        <v/>
      </c>
      <c r="G177" s="32" t="str">
        <f aca="false">IF($D177="","",IF($E177="",0,SUMPRODUCT(--ISNUMBER(SEARCH(Keywords!$A$2:$A$136,$E177)),--(Keywords!$A$2:$A$136&lt;&gt;""))))</f>
        <v/>
      </c>
      <c r="H177" s="51" t="str">
        <f aca="false">IF($D177="","",IF($F177="Yes","YES",IF(AND($F177="Depends",$E177=""),"REVIEW — add scope text",IF($F177="Depends",IF($G177&gt;=Classify!$C$40,"YES","NO"),IF($G177&gt;=Classify!$C$41,"YES","NO")))))</f>
        <v/>
      </c>
      <c r="I177" s="12" t="str">
        <f aca="false">IF($D177="","",INDEX(Doc_Types!$D$2:$D$77,MATCH($D177,DocTypeList,0)))</f>
        <v/>
      </c>
      <c r="J177" s="37" t="str">
        <f aca="false">IF($D177="","",IF($F177="Yes",INDEX(Doc_Types!$E$2:$E$77,MATCH($D177,DocTypeList,0)),IF(LEFT($H177,6)="REVIEW","Type is 'Depends' — classification is decided by content; paste the scope text to resolve.",IF($H177="YES","Type default is '"&amp;$F177&amp;"' but the text contains "&amp;$G177&amp;" controlled technical term(s) — classification follows content (Wassenaar ML22 technology).",INDEX(Doc_Types!$E$2:$E$77,MATCH($D177,DocTypeList,0))&amp;" Text scan: "&amp;$G177&amp;" controlled term(s), below threshold."))))</f>
        <v/>
      </c>
      <c r="K177" s="51" t="str">
        <f aca="false">IF($H177="YES","EXPORT CONTROLLED",IF($H177="NO","NOT EXPORT CONTROLLED",IF($D177="","","— pending review —")))</f>
        <v/>
      </c>
    </row>
    <row r="178" customFormat="false" ht="30" hidden="false" customHeight="true" outlineLevel="0" collapsed="false">
      <c r="A178" s="48" t="n">
        <v>171</v>
      </c>
      <c r="B178" s="25"/>
      <c r="C178" s="25"/>
      <c r="D178" s="25"/>
      <c r="E178" s="25"/>
      <c r="F178" s="50" t="str">
        <f aca="false">IF($D178="","",INDEX(Doc_Types!$C$2:$C$77,MATCH($D178,DocTypeList,0)))</f>
        <v/>
      </c>
      <c r="G178" s="32" t="str">
        <f aca="false">IF($D178="","",IF($E178="",0,SUMPRODUCT(--ISNUMBER(SEARCH(Keywords!$A$2:$A$136,$E178)),--(Keywords!$A$2:$A$136&lt;&gt;""))))</f>
        <v/>
      </c>
      <c r="H178" s="51" t="str">
        <f aca="false">IF($D178="","",IF($F178="Yes","YES",IF(AND($F178="Depends",$E178=""),"REVIEW — add scope text",IF($F178="Depends",IF($G178&gt;=Classify!$C$40,"YES","NO"),IF($G178&gt;=Classify!$C$41,"YES","NO")))))</f>
        <v/>
      </c>
      <c r="I178" s="12" t="str">
        <f aca="false">IF($D178="","",INDEX(Doc_Types!$D$2:$D$77,MATCH($D178,DocTypeList,0)))</f>
        <v/>
      </c>
      <c r="J178" s="37" t="str">
        <f aca="false">IF($D178="","",IF($F178="Yes",INDEX(Doc_Types!$E$2:$E$77,MATCH($D178,DocTypeList,0)),IF(LEFT($H178,6)="REVIEW","Type is 'Depends' — classification is decided by content; paste the scope text to resolve.",IF($H178="YES","Type default is '"&amp;$F178&amp;"' but the text contains "&amp;$G178&amp;" controlled technical term(s) — classification follows content (Wassenaar ML22 technology).",INDEX(Doc_Types!$E$2:$E$77,MATCH($D178,DocTypeList,0))&amp;" Text scan: "&amp;$G178&amp;" controlled term(s), below threshold."))))</f>
        <v/>
      </c>
      <c r="K178" s="51" t="str">
        <f aca="false">IF($H178="YES","EXPORT CONTROLLED",IF($H178="NO","NOT EXPORT CONTROLLED",IF($D178="","","— pending review —")))</f>
        <v/>
      </c>
    </row>
    <row r="179" customFormat="false" ht="30" hidden="false" customHeight="true" outlineLevel="0" collapsed="false">
      <c r="A179" s="48" t="n">
        <v>172</v>
      </c>
      <c r="B179" s="25"/>
      <c r="C179" s="25"/>
      <c r="D179" s="25"/>
      <c r="E179" s="25"/>
      <c r="F179" s="50" t="str">
        <f aca="false">IF($D179="","",INDEX(Doc_Types!$C$2:$C$77,MATCH($D179,DocTypeList,0)))</f>
        <v/>
      </c>
      <c r="G179" s="32" t="str">
        <f aca="false">IF($D179="","",IF($E179="",0,SUMPRODUCT(--ISNUMBER(SEARCH(Keywords!$A$2:$A$136,$E179)),--(Keywords!$A$2:$A$136&lt;&gt;""))))</f>
        <v/>
      </c>
      <c r="H179" s="51" t="str">
        <f aca="false">IF($D179="","",IF($F179="Yes","YES",IF(AND($F179="Depends",$E179=""),"REVIEW — add scope text",IF($F179="Depends",IF($G179&gt;=Classify!$C$40,"YES","NO"),IF($G179&gt;=Classify!$C$41,"YES","NO")))))</f>
        <v/>
      </c>
      <c r="I179" s="12" t="str">
        <f aca="false">IF($D179="","",INDEX(Doc_Types!$D$2:$D$77,MATCH($D179,DocTypeList,0)))</f>
        <v/>
      </c>
      <c r="J179" s="37" t="str">
        <f aca="false">IF($D179="","",IF($F179="Yes",INDEX(Doc_Types!$E$2:$E$77,MATCH($D179,DocTypeList,0)),IF(LEFT($H179,6)="REVIEW","Type is 'Depends' — classification is decided by content; paste the scope text to resolve.",IF($H179="YES","Type default is '"&amp;$F179&amp;"' but the text contains "&amp;$G179&amp;" controlled technical term(s) — classification follows content (Wassenaar ML22 technology).",INDEX(Doc_Types!$E$2:$E$77,MATCH($D179,DocTypeList,0))&amp;" Text scan: "&amp;$G179&amp;" controlled term(s), below threshold."))))</f>
        <v/>
      </c>
      <c r="K179" s="51" t="str">
        <f aca="false">IF($H179="YES","EXPORT CONTROLLED",IF($H179="NO","NOT EXPORT CONTROLLED",IF($D179="","","— pending review —")))</f>
        <v/>
      </c>
    </row>
    <row r="180" customFormat="false" ht="30" hidden="false" customHeight="true" outlineLevel="0" collapsed="false">
      <c r="A180" s="48" t="n">
        <v>173</v>
      </c>
      <c r="B180" s="25"/>
      <c r="C180" s="25"/>
      <c r="D180" s="25"/>
      <c r="E180" s="25"/>
      <c r="F180" s="50" t="str">
        <f aca="false">IF($D180="","",INDEX(Doc_Types!$C$2:$C$77,MATCH($D180,DocTypeList,0)))</f>
        <v/>
      </c>
      <c r="G180" s="32" t="str">
        <f aca="false">IF($D180="","",IF($E180="",0,SUMPRODUCT(--ISNUMBER(SEARCH(Keywords!$A$2:$A$136,$E180)),--(Keywords!$A$2:$A$136&lt;&gt;""))))</f>
        <v/>
      </c>
      <c r="H180" s="51" t="str">
        <f aca="false">IF($D180="","",IF($F180="Yes","YES",IF(AND($F180="Depends",$E180=""),"REVIEW — add scope text",IF($F180="Depends",IF($G180&gt;=Classify!$C$40,"YES","NO"),IF($G180&gt;=Classify!$C$41,"YES","NO")))))</f>
        <v/>
      </c>
      <c r="I180" s="12" t="str">
        <f aca="false">IF($D180="","",INDEX(Doc_Types!$D$2:$D$77,MATCH($D180,DocTypeList,0)))</f>
        <v/>
      </c>
      <c r="J180" s="37" t="str">
        <f aca="false">IF($D180="","",IF($F180="Yes",INDEX(Doc_Types!$E$2:$E$77,MATCH($D180,DocTypeList,0)),IF(LEFT($H180,6)="REVIEW","Type is 'Depends' — classification is decided by content; paste the scope text to resolve.",IF($H180="YES","Type default is '"&amp;$F180&amp;"' but the text contains "&amp;$G180&amp;" controlled technical term(s) — classification follows content (Wassenaar ML22 technology).",INDEX(Doc_Types!$E$2:$E$77,MATCH($D180,DocTypeList,0))&amp;" Text scan: "&amp;$G180&amp;" controlled term(s), below threshold."))))</f>
        <v/>
      </c>
      <c r="K180" s="51" t="str">
        <f aca="false">IF($H180="YES","EXPORT CONTROLLED",IF($H180="NO","NOT EXPORT CONTROLLED",IF($D180="","","— pending review —")))</f>
        <v/>
      </c>
    </row>
    <row r="181" customFormat="false" ht="30" hidden="false" customHeight="true" outlineLevel="0" collapsed="false">
      <c r="A181" s="48" t="n">
        <v>174</v>
      </c>
      <c r="B181" s="25"/>
      <c r="C181" s="25"/>
      <c r="D181" s="25"/>
      <c r="E181" s="25"/>
      <c r="F181" s="50" t="str">
        <f aca="false">IF($D181="","",INDEX(Doc_Types!$C$2:$C$77,MATCH($D181,DocTypeList,0)))</f>
        <v/>
      </c>
      <c r="G181" s="32" t="str">
        <f aca="false">IF($D181="","",IF($E181="",0,SUMPRODUCT(--ISNUMBER(SEARCH(Keywords!$A$2:$A$136,$E181)),--(Keywords!$A$2:$A$136&lt;&gt;""))))</f>
        <v/>
      </c>
      <c r="H181" s="51" t="str">
        <f aca="false">IF($D181="","",IF($F181="Yes","YES",IF(AND($F181="Depends",$E181=""),"REVIEW — add scope text",IF($F181="Depends",IF($G181&gt;=Classify!$C$40,"YES","NO"),IF($G181&gt;=Classify!$C$41,"YES","NO")))))</f>
        <v/>
      </c>
      <c r="I181" s="12" t="str">
        <f aca="false">IF($D181="","",INDEX(Doc_Types!$D$2:$D$77,MATCH($D181,DocTypeList,0)))</f>
        <v/>
      </c>
      <c r="J181" s="37" t="str">
        <f aca="false">IF($D181="","",IF($F181="Yes",INDEX(Doc_Types!$E$2:$E$77,MATCH($D181,DocTypeList,0)),IF(LEFT($H181,6)="REVIEW","Type is 'Depends' — classification is decided by content; paste the scope text to resolve.",IF($H181="YES","Type default is '"&amp;$F181&amp;"' but the text contains "&amp;$G181&amp;" controlled technical term(s) — classification follows content (Wassenaar ML22 technology).",INDEX(Doc_Types!$E$2:$E$77,MATCH($D181,DocTypeList,0))&amp;" Text scan: "&amp;$G181&amp;" controlled term(s), below threshold."))))</f>
        <v/>
      </c>
      <c r="K181" s="51" t="str">
        <f aca="false">IF($H181="YES","EXPORT CONTROLLED",IF($H181="NO","NOT EXPORT CONTROLLED",IF($D181="","","— pending review —")))</f>
        <v/>
      </c>
    </row>
    <row r="182" customFormat="false" ht="30" hidden="false" customHeight="true" outlineLevel="0" collapsed="false">
      <c r="A182" s="48" t="n">
        <v>175</v>
      </c>
      <c r="B182" s="25"/>
      <c r="C182" s="25"/>
      <c r="D182" s="25"/>
      <c r="E182" s="25"/>
      <c r="F182" s="50" t="str">
        <f aca="false">IF($D182="","",INDEX(Doc_Types!$C$2:$C$77,MATCH($D182,DocTypeList,0)))</f>
        <v/>
      </c>
      <c r="G182" s="32" t="str">
        <f aca="false">IF($D182="","",IF($E182="",0,SUMPRODUCT(--ISNUMBER(SEARCH(Keywords!$A$2:$A$136,$E182)),--(Keywords!$A$2:$A$136&lt;&gt;""))))</f>
        <v/>
      </c>
      <c r="H182" s="51" t="str">
        <f aca="false">IF($D182="","",IF($F182="Yes","YES",IF(AND($F182="Depends",$E182=""),"REVIEW — add scope text",IF($F182="Depends",IF($G182&gt;=Classify!$C$40,"YES","NO"),IF($G182&gt;=Classify!$C$41,"YES","NO")))))</f>
        <v/>
      </c>
      <c r="I182" s="12" t="str">
        <f aca="false">IF($D182="","",INDEX(Doc_Types!$D$2:$D$77,MATCH($D182,DocTypeList,0)))</f>
        <v/>
      </c>
      <c r="J182" s="37" t="str">
        <f aca="false">IF($D182="","",IF($F182="Yes",INDEX(Doc_Types!$E$2:$E$77,MATCH($D182,DocTypeList,0)),IF(LEFT($H182,6)="REVIEW","Type is 'Depends' — classification is decided by content; paste the scope text to resolve.",IF($H182="YES","Type default is '"&amp;$F182&amp;"' but the text contains "&amp;$G182&amp;" controlled technical term(s) — classification follows content (Wassenaar ML22 technology).",INDEX(Doc_Types!$E$2:$E$77,MATCH($D182,DocTypeList,0))&amp;" Text scan: "&amp;$G182&amp;" controlled term(s), below threshold."))))</f>
        <v/>
      </c>
      <c r="K182" s="51" t="str">
        <f aca="false">IF($H182="YES","EXPORT CONTROLLED",IF($H182="NO","NOT EXPORT CONTROLLED",IF($D182="","","— pending review —")))</f>
        <v/>
      </c>
    </row>
    <row r="183" customFormat="false" ht="30" hidden="false" customHeight="true" outlineLevel="0" collapsed="false">
      <c r="A183" s="48" t="n">
        <v>176</v>
      </c>
      <c r="B183" s="25"/>
      <c r="C183" s="25"/>
      <c r="D183" s="25"/>
      <c r="E183" s="25"/>
      <c r="F183" s="50" t="str">
        <f aca="false">IF($D183="","",INDEX(Doc_Types!$C$2:$C$77,MATCH($D183,DocTypeList,0)))</f>
        <v/>
      </c>
      <c r="G183" s="32" t="str">
        <f aca="false">IF($D183="","",IF($E183="",0,SUMPRODUCT(--ISNUMBER(SEARCH(Keywords!$A$2:$A$136,$E183)),--(Keywords!$A$2:$A$136&lt;&gt;""))))</f>
        <v/>
      </c>
      <c r="H183" s="51" t="str">
        <f aca="false">IF($D183="","",IF($F183="Yes","YES",IF(AND($F183="Depends",$E183=""),"REVIEW — add scope text",IF($F183="Depends",IF($G183&gt;=Classify!$C$40,"YES","NO"),IF($G183&gt;=Classify!$C$41,"YES","NO")))))</f>
        <v/>
      </c>
      <c r="I183" s="12" t="str">
        <f aca="false">IF($D183="","",INDEX(Doc_Types!$D$2:$D$77,MATCH($D183,DocTypeList,0)))</f>
        <v/>
      </c>
      <c r="J183" s="37" t="str">
        <f aca="false">IF($D183="","",IF($F183="Yes",INDEX(Doc_Types!$E$2:$E$77,MATCH($D183,DocTypeList,0)),IF(LEFT($H183,6)="REVIEW","Type is 'Depends' — classification is decided by content; paste the scope text to resolve.",IF($H183="YES","Type default is '"&amp;$F183&amp;"' but the text contains "&amp;$G183&amp;" controlled technical term(s) — classification follows content (Wassenaar ML22 technology).",INDEX(Doc_Types!$E$2:$E$77,MATCH($D183,DocTypeList,0))&amp;" Text scan: "&amp;$G183&amp;" controlled term(s), below threshold."))))</f>
        <v/>
      </c>
      <c r="K183" s="51" t="str">
        <f aca="false">IF($H183="YES","EXPORT CONTROLLED",IF($H183="NO","NOT EXPORT CONTROLLED",IF($D183="","","— pending review —")))</f>
        <v/>
      </c>
    </row>
    <row r="184" customFormat="false" ht="30" hidden="false" customHeight="true" outlineLevel="0" collapsed="false">
      <c r="A184" s="48" t="n">
        <v>177</v>
      </c>
      <c r="B184" s="25"/>
      <c r="C184" s="25"/>
      <c r="D184" s="25"/>
      <c r="E184" s="25"/>
      <c r="F184" s="50" t="str">
        <f aca="false">IF($D184="","",INDEX(Doc_Types!$C$2:$C$77,MATCH($D184,DocTypeList,0)))</f>
        <v/>
      </c>
      <c r="G184" s="32" t="str">
        <f aca="false">IF($D184="","",IF($E184="",0,SUMPRODUCT(--ISNUMBER(SEARCH(Keywords!$A$2:$A$136,$E184)),--(Keywords!$A$2:$A$136&lt;&gt;""))))</f>
        <v/>
      </c>
      <c r="H184" s="51" t="str">
        <f aca="false">IF($D184="","",IF($F184="Yes","YES",IF(AND($F184="Depends",$E184=""),"REVIEW — add scope text",IF($F184="Depends",IF($G184&gt;=Classify!$C$40,"YES","NO"),IF($G184&gt;=Classify!$C$41,"YES","NO")))))</f>
        <v/>
      </c>
      <c r="I184" s="12" t="str">
        <f aca="false">IF($D184="","",INDEX(Doc_Types!$D$2:$D$77,MATCH($D184,DocTypeList,0)))</f>
        <v/>
      </c>
      <c r="J184" s="37" t="str">
        <f aca="false">IF($D184="","",IF($F184="Yes",INDEX(Doc_Types!$E$2:$E$77,MATCH($D184,DocTypeList,0)),IF(LEFT($H184,6)="REVIEW","Type is 'Depends' — classification is decided by content; paste the scope text to resolve.",IF($H184="YES","Type default is '"&amp;$F184&amp;"' but the text contains "&amp;$G184&amp;" controlled technical term(s) — classification follows content (Wassenaar ML22 technology).",INDEX(Doc_Types!$E$2:$E$77,MATCH($D184,DocTypeList,0))&amp;" Text scan: "&amp;$G184&amp;" controlled term(s), below threshold."))))</f>
        <v/>
      </c>
      <c r="K184" s="51" t="str">
        <f aca="false">IF($H184="YES","EXPORT CONTROLLED",IF($H184="NO","NOT EXPORT CONTROLLED",IF($D184="","","— pending review —")))</f>
        <v/>
      </c>
    </row>
    <row r="185" customFormat="false" ht="30" hidden="false" customHeight="true" outlineLevel="0" collapsed="false">
      <c r="A185" s="48" t="n">
        <v>178</v>
      </c>
      <c r="B185" s="25"/>
      <c r="C185" s="25"/>
      <c r="D185" s="25"/>
      <c r="E185" s="25"/>
      <c r="F185" s="50" t="str">
        <f aca="false">IF($D185="","",INDEX(Doc_Types!$C$2:$C$77,MATCH($D185,DocTypeList,0)))</f>
        <v/>
      </c>
      <c r="G185" s="32" t="str">
        <f aca="false">IF($D185="","",IF($E185="",0,SUMPRODUCT(--ISNUMBER(SEARCH(Keywords!$A$2:$A$136,$E185)),--(Keywords!$A$2:$A$136&lt;&gt;""))))</f>
        <v/>
      </c>
      <c r="H185" s="51" t="str">
        <f aca="false">IF($D185="","",IF($F185="Yes","YES",IF(AND($F185="Depends",$E185=""),"REVIEW — add scope text",IF($F185="Depends",IF($G185&gt;=Classify!$C$40,"YES","NO"),IF($G185&gt;=Classify!$C$41,"YES","NO")))))</f>
        <v/>
      </c>
      <c r="I185" s="12" t="str">
        <f aca="false">IF($D185="","",INDEX(Doc_Types!$D$2:$D$77,MATCH($D185,DocTypeList,0)))</f>
        <v/>
      </c>
      <c r="J185" s="37" t="str">
        <f aca="false">IF($D185="","",IF($F185="Yes",INDEX(Doc_Types!$E$2:$E$77,MATCH($D185,DocTypeList,0)),IF(LEFT($H185,6)="REVIEW","Type is 'Depends' — classification is decided by content; paste the scope text to resolve.",IF($H185="YES","Type default is '"&amp;$F185&amp;"' but the text contains "&amp;$G185&amp;" controlled technical term(s) — classification follows content (Wassenaar ML22 technology).",INDEX(Doc_Types!$E$2:$E$77,MATCH($D185,DocTypeList,0))&amp;" Text scan: "&amp;$G185&amp;" controlled term(s), below threshold."))))</f>
        <v/>
      </c>
      <c r="K185" s="51" t="str">
        <f aca="false">IF($H185="YES","EXPORT CONTROLLED",IF($H185="NO","NOT EXPORT CONTROLLED",IF($D185="","","— pending review —")))</f>
        <v/>
      </c>
    </row>
    <row r="186" customFormat="false" ht="30" hidden="false" customHeight="true" outlineLevel="0" collapsed="false">
      <c r="A186" s="48" t="n">
        <v>179</v>
      </c>
      <c r="B186" s="25"/>
      <c r="C186" s="25"/>
      <c r="D186" s="25"/>
      <c r="E186" s="25"/>
      <c r="F186" s="50" t="str">
        <f aca="false">IF($D186="","",INDEX(Doc_Types!$C$2:$C$77,MATCH($D186,DocTypeList,0)))</f>
        <v/>
      </c>
      <c r="G186" s="32" t="str">
        <f aca="false">IF($D186="","",IF($E186="",0,SUMPRODUCT(--ISNUMBER(SEARCH(Keywords!$A$2:$A$136,$E186)),--(Keywords!$A$2:$A$136&lt;&gt;""))))</f>
        <v/>
      </c>
      <c r="H186" s="51" t="str">
        <f aca="false">IF($D186="","",IF($F186="Yes","YES",IF(AND($F186="Depends",$E186=""),"REVIEW — add scope text",IF($F186="Depends",IF($G186&gt;=Classify!$C$40,"YES","NO"),IF($G186&gt;=Classify!$C$41,"YES","NO")))))</f>
        <v/>
      </c>
      <c r="I186" s="12" t="str">
        <f aca="false">IF($D186="","",INDEX(Doc_Types!$D$2:$D$77,MATCH($D186,DocTypeList,0)))</f>
        <v/>
      </c>
      <c r="J186" s="37" t="str">
        <f aca="false">IF($D186="","",IF($F186="Yes",INDEX(Doc_Types!$E$2:$E$77,MATCH($D186,DocTypeList,0)),IF(LEFT($H186,6)="REVIEW","Type is 'Depends' — classification is decided by content; paste the scope text to resolve.",IF($H186="YES","Type default is '"&amp;$F186&amp;"' but the text contains "&amp;$G186&amp;" controlled technical term(s) — classification follows content (Wassenaar ML22 technology).",INDEX(Doc_Types!$E$2:$E$77,MATCH($D186,DocTypeList,0))&amp;" Text scan: "&amp;$G186&amp;" controlled term(s), below threshold."))))</f>
        <v/>
      </c>
      <c r="K186" s="51" t="str">
        <f aca="false">IF($H186="YES","EXPORT CONTROLLED",IF($H186="NO","NOT EXPORT CONTROLLED",IF($D186="","","— pending review —")))</f>
        <v/>
      </c>
    </row>
    <row r="187" customFormat="false" ht="30" hidden="false" customHeight="true" outlineLevel="0" collapsed="false">
      <c r="A187" s="48" t="n">
        <v>180</v>
      </c>
      <c r="B187" s="25"/>
      <c r="C187" s="25"/>
      <c r="D187" s="25"/>
      <c r="E187" s="25"/>
      <c r="F187" s="50" t="str">
        <f aca="false">IF($D187="","",INDEX(Doc_Types!$C$2:$C$77,MATCH($D187,DocTypeList,0)))</f>
        <v/>
      </c>
      <c r="G187" s="32" t="str">
        <f aca="false">IF($D187="","",IF($E187="",0,SUMPRODUCT(--ISNUMBER(SEARCH(Keywords!$A$2:$A$136,$E187)),--(Keywords!$A$2:$A$136&lt;&gt;""))))</f>
        <v/>
      </c>
      <c r="H187" s="51" t="str">
        <f aca="false">IF($D187="","",IF($F187="Yes","YES",IF(AND($F187="Depends",$E187=""),"REVIEW — add scope text",IF($F187="Depends",IF($G187&gt;=Classify!$C$40,"YES","NO"),IF($G187&gt;=Classify!$C$41,"YES","NO")))))</f>
        <v/>
      </c>
      <c r="I187" s="12" t="str">
        <f aca="false">IF($D187="","",INDEX(Doc_Types!$D$2:$D$77,MATCH($D187,DocTypeList,0)))</f>
        <v/>
      </c>
      <c r="J187" s="37" t="str">
        <f aca="false">IF($D187="","",IF($F187="Yes",INDEX(Doc_Types!$E$2:$E$77,MATCH($D187,DocTypeList,0)),IF(LEFT($H187,6)="REVIEW","Type is 'Depends' — classification is decided by content; paste the scope text to resolve.",IF($H187="YES","Type default is '"&amp;$F187&amp;"' but the text contains "&amp;$G187&amp;" controlled technical term(s) — classification follows content (Wassenaar ML22 technology).",INDEX(Doc_Types!$E$2:$E$77,MATCH($D187,DocTypeList,0))&amp;" Text scan: "&amp;$G187&amp;" controlled term(s), below threshold."))))</f>
        <v/>
      </c>
      <c r="K187" s="51" t="str">
        <f aca="false">IF($H187="YES","EXPORT CONTROLLED",IF($H187="NO","NOT EXPORT CONTROLLED",IF($D187="","","— pending review —")))</f>
        <v/>
      </c>
    </row>
    <row r="188" customFormat="false" ht="30" hidden="false" customHeight="true" outlineLevel="0" collapsed="false">
      <c r="A188" s="48" t="n">
        <v>181</v>
      </c>
      <c r="B188" s="25"/>
      <c r="C188" s="25"/>
      <c r="D188" s="25"/>
      <c r="E188" s="25"/>
      <c r="F188" s="50" t="str">
        <f aca="false">IF($D188="","",INDEX(Doc_Types!$C$2:$C$77,MATCH($D188,DocTypeList,0)))</f>
        <v/>
      </c>
      <c r="G188" s="32" t="str">
        <f aca="false">IF($D188="","",IF($E188="",0,SUMPRODUCT(--ISNUMBER(SEARCH(Keywords!$A$2:$A$136,$E188)),--(Keywords!$A$2:$A$136&lt;&gt;""))))</f>
        <v/>
      </c>
      <c r="H188" s="51" t="str">
        <f aca="false">IF($D188="","",IF($F188="Yes","YES",IF(AND($F188="Depends",$E188=""),"REVIEW — add scope text",IF($F188="Depends",IF($G188&gt;=Classify!$C$40,"YES","NO"),IF($G188&gt;=Classify!$C$41,"YES","NO")))))</f>
        <v/>
      </c>
      <c r="I188" s="12" t="str">
        <f aca="false">IF($D188="","",INDEX(Doc_Types!$D$2:$D$77,MATCH($D188,DocTypeList,0)))</f>
        <v/>
      </c>
      <c r="J188" s="37" t="str">
        <f aca="false">IF($D188="","",IF($F188="Yes",INDEX(Doc_Types!$E$2:$E$77,MATCH($D188,DocTypeList,0)),IF(LEFT($H188,6)="REVIEW","Type is 'Depends' — classification is decided by content; paste the scope text to resolve.",IF($H188="YES","Type default is '"&amp;$F188&amp;"' but the text contains "&amp;$G188&amp;" controlled technical term(s) — classification follows content (Wassenaar ML22 technology).",INDEX(Doc_Types!$E$2:$E$77,MATCH($D188,DocTypeList,0))&amp;" Text scan: "&amp;$G188&amp;" controlled term(s), below threshold."))))</f>
        <v/>
      </c>
      <c r="K188" s="51" t="str">
        <f aca="false">IF($H188="YES","EXPORT CONTROLLED",IF($H188="NO","NOT EXPORT CONTROLLED",IF($D188="","","— pending review —")))</f>
        <v/>
      </c>
    </row>
    <row r="189" customFormat="false" ht="30" hidden="false" customHeight="true" outlineLevel="0" collapsed="false">
      <c r="A189" s="48" t="n">
        <v>182</v>
      </c>
      <c r="B189" s="25"/>
      <c r="C189" s="25"/>
      <c r="D189" s="25"/>
      <c r="E189" s="25"/>
      <c r="F189" s="50" t="str">
        <f aca="false">IF($D189="","",INDEX(Doc_Types!$C$2:$C$77,MATCH($D189,DocTypeList,0)))</f>
        <v/>
      </c>
      <c r="G189" s="32" t="str">
        <f aca="false">IF($D189="","",IF($E189="",0,SUMPRODUCT(--ISNUMBER(SEARCH(Keywords!$A$2:$A$136,$E189)),--(Keywords!$A$2:$A$136&lt;&gt;""))))</f>
        <v/>
      </c>
      <c r="H189" s="51" t="str">
        <f aca="false">IF($D189="","",IF($F189="Yes","YES",IF(AND($F189="Depends",$E189=""),"REVIEW — add scope text",IF($F189="Depends",IF($G189&gt;=Classify!$C$40,"YES","NO"),IF($G189&gt;=Classify!$C$41,"YES","NO")))))</f>
        <v/>
      </c>
      <c r="I189" s="12" t="str">
        <f aca="false">IF($D189="","",INDEX(Doc_Types!$D$2:$D$77,MATCH($D189,DocTypeList,0)))</f>
        <v/>
      </c>
      <c r="J189" s="37" t="str">
        <f aca="false">IF($D189="","",IF($F189="Yes",INDEX(Doc_Types!$E$2:$E$77,MATCH($D189,DocTypeList,0)),IF(LEFT($H189,6)="REVIEW","Type is 'Depends' — classification is decided by content; paste the scope text to resolve.",IF($H189="YES","Type default is '"&amp;$F189&amp;"' but the text contains "&amp;$G189&amp;" controlled technical term(s) — classification follows content (Wassenaar ML22 technology).",INDEX(Doc_Types!$E$2:$E$77,MATCH($D189,DocTypeList,0))&amp;" Text scan: "&amp;$G189&amp;" controlled term(s), below threshold."))))</f>
        <v/>
      </c>
      <c r="K189" s="51" t="str">
        <f aca="false">IF($H189="YES","EXPORT CONTROLLED",IF($H189="NO","NOT EXPORT CONTROLLED",IF($D189="","","— pending review —")))</f>
        <v/>
      </c>
    </row>
    <row r="190" customFormat="false" ht="30" hidden="false" customHeight="true" outlineLevel="0" collapsed="false">
      <c r="A190" s="48" t="n">
        <v>183</v>
      </c>
      <c r="B190" s="25"/>
      <c r="C190" s="25"/>
      <c r="D190" s="25"/>
      <c r="E190" s="25"/>
      <c r="F190" s="50" t="str">
        <f aca="false">IF($D190="","",INDEX(Doc_Types!$C$2:$C$77,MATCH($D190,DocTypeList,0)))</f>
        <v/>
      </c>
      <c r="G190" s="32" t="str">
        <f aca="false">IF($D190="","",IF($E190="",0,SUMPRODUCT(--ISNUMBER(SEARCH(Keywords!$A$2:$A$136,$E190)),--(Keywords!$A$2:$A$136&lt;&gt;""))))</f>
        <v/>
      </c>
      <c r="H190" s="51" t="str">
        <f aca="false">IF($D190="","",IF($F190="Yes","YES",IF(AND($F190="Depends",$E190=""),"REVIEW — add scope text",IF($F190="Depends",IF($G190&gt;=Classify!$C$40,"YES","NO"),IF($G190&gt;=Classify!$C$41,"YES","NO")))))</f>
        <v/>
      </c>
      <c r="I190" s="12" t="str">
        <f aca="false">IF($D190="","",INDEX(Doc_Types!$D$2:$D$77,MATCH($D190,DocTypeList,0)))</f>
        <v/>
      </c>
      <c r="J190" s="37" t="str">
        <f aca="false">IF($D190="","",IF($F190="Yes",INDEX(Doc_Types!$E$2:$E$77,MATCH($D190,DocTypeList,0)),IF(LEFT($H190,6)="REVIEW","Type is 'Depends' — classification is decided by content; paste the scope text to resolve.",IF($H190="YES","Type default is '"&amp;$F190&amp;"' but the text contains "&amp;$G190&amp;" controlled technical term(s) — classification follows content (Wassenaar ML22 technology).",INDEX(Doc_Types!$E$2:$E$77,MATCH($D190,DocTypeList,0))&amp;" Text scan: "&amp;$G190&amp;" controlled term(s), below threshold."))))</f>
        <v/>
      </c>
      <c r="K190" s="51" t="str">
        <f aca="false">IF($H190="YES","EXPORT CONTROLLED",IF($H190="NO","NOT EXPORT CONTROLLED",IF($D190="","","— pending review —")))</f>
        <v/>
      </c>
    </row>
    <row r="191" customFormat="false" ht="30" hidden="false" customHeight="true" outlineLevel="0" collapsed="false">
      <c r="A191" s="48" t="n">
        <v>184</v>
      </c>
      <c r="B191" s="25"/>
      <c r="C191" s="25"/>
      <c r="D191" s="25"/>
      <c r="E191" s="25"/>
      <c r="F191" s="50" t="str">
        <f aca="false">IF($D191="","",INDEX(Doc_Types!$C$2:$C$77,MATCH($D191,DocTypeList,0)))</f>
        <v/>
      </c>
      <c r="G191" s="32" t="str">
        <f aca="false">IF($D191="","",IF($E191="",0,SUMPRODUCT(--ISNUMBER(SEARCH(Keywords!$A$2:$A$136,$E191)),--(Keywords!$A$2:$A$136&lt;&gt;""))))</f>
        <v/>
      </c>
      <c r="H191" s="51" t="str">
        <f aca="false">IF($D191="","",IF($F191="Yes","YES",IF(AND($F191="Depends",$E191=""),"REVIEW — add scope text",IF($F191="Depends",IF($G191&gt;=Classify!$C$40,"YES","NO"),IF($G191&gt;=Classify!$C$41,"YES","NO")))))</f>
        <v/>
      </c>
      <c r="I191" s="12" t="str">
        <f aca="false">IF($D191="","",INDEX(Doc_Types!$D$2:$D$77,MATCH($D191,DocTypeList,0)))</f>
        <v/>
      </c>
      <c r="J191" s="37" t="str">
        <f aca="false">IF($D191="","",IF($F191="Yes",INDEX(Doc_Types!$E$2:$E$77,MATCH($D191,DocTypeList,0)),IF(LEFT($H191,6)="REVIEW","Type is 'Depends' — classification is decided by content; paste the scope text to resolve.",IF($H191="YES","Type default is '"&amp;$F191&amp;"' but the text contains "&amp;$G191&amp;" controlled technical term(s) — classification follows content (Wassenaar ML22 technology).",INDEX(Doc_Types!$E$2:$E$77,MATCH($D191,DocTypeList,0))&amp;" Text scan: "&amp;$G191&amp;" controlled term(s), below threshold."))))</f>
        <v/>
      </c>
      <c r="K191" s="51" t="str">
        <f aca="false">IF($H191="YES","EXPORT CONTROLLED",IF($H191="NO","NOT EXPORT CONTROLLED",IF($D191="","","— pending review —")))</f>
        <v/>
      </c>
    </row>
    <row r="192" customFormat="false" ht="30" hidden="false" customHeight="true" outlineLevel="0" collapsed="false">
      <c r="A192" s="48" t="n">
        <v>185</v>
      </c>
      <c r="B192" s="25"/>
      <c r="C192" s="25"/>
      <c r="D192" s="25"/>
      <c r="E192" s="25"/>
      <c r="F192" s="50" t="str">
        <f aca="false">IF($D192="","",INDEX(Doc_Types!$C$2:$C$77,MATCH($D192,DocTypeList,0)))</f>
        <v/>
      </c>
      <c r="G192" s="32" t="str">
        <f aca="false">IF($D192="","",IF($E192="",0,SUMPRODUCT(--ISNUMBER(SEARCH(Keywords!$A$2:$A$136,$E192)),--(Keywords!$A$2:$A$136&lt;&gt;""))))</f>
        <v/>
      </c>
      <c r="H192" s="51" t="str">
        <f aca="false">IF($D192="","",IF($F192="Yes","YES",IF(AND($F192="Depends",$E192=""),"REVIEW — add scope text",IF($F192="Depends",IF($G192&gt;=Classify!$C$40,"YES","NO"),IF($G192&gt;=Classify!$C$41,"YES","NO")))))</f>
        <v/>
      </c>
      <c r="I192" s="12" t="str">
        <f aca="false">IF($D192="","",INDEX(Doc_Types!$D$2:$D$77,MATCH($D192,DocTypeList,0)))</f>
        <v/>
      </c>
      <c r="J192" s="37" t="str">
        <f aca="false">IF($D192="","",IF($F192="Yes",INDEX(Doc_Types!$E$2:$E$77,MATCH($D192,DocTypeList,0)),IF(LEFT($H192,6)="REVIEW","Type is 'Depends' — classification is decided by content; paste the scope text to resolve.",IF($H192="YES","Type default is '"&amp;$F192&amp;"' but the text contains "&amp;$G192&amp;" controlled technical term(s) — classification follows content (Wassenaar ML22 technology).",INDEX(Doc_Types!$E$2:$E$77,MATCH($D192,DocTypeList,0))&amp;" Text scan: "&amp;$G192&amp;" controlled term(s), below threshold."))))</f>
        <v/>
      </c>
      <c r="K192" s="51" t="str">
        <f aca="false">IF($H192="YES","EXPORT CONTROLLED",IF($H192="NO","NOT EXPORT CONTROLLED",IF($D192="","","— pending review —")))</f>
        <v/>
      </c>
    </row>
    <row r="193" customFormat="false" ht="30" hidden="false" customHeight="true" outlineLevel="0" collapsed="false">
      <c r="A193" s="48" t="n">
        <v>186</v>
      </c>
      <c r="B193" s="25"/>
      <c r="C193" s="25"/>
      <c r="D193" s="25"/>
      <c r="E193" s="25"/>
      <c r="F193" s="50" t="str">
        <f aca="false">IF($D193="","",INDEX(Doc_Types!$C$2:$C$77,MATCH($D193,DocTypeList,0)))</f>
        <v/>
      </c>
      <c r="G193" s="32" t="str">
        <f aca="false">IF($D193="","",IF($E193="",0,SUMPRODUCT(--ISNUMBER(SEARCH(Keywords!$A$2:$A$136,$E193)),--(Keywords!$A$2:$A$136&lt;&gt;""))))</f>
        <v/>
      </c>
      <c r="H193" s="51" t="str">
        <f aca="false">IF($D193="","",IF($F193="Yes","YES",IF(AND($F193="Depends",$E193=""),"REVIEW — add scope text",IF($F193="Depends",IF($G193&gt;=Classify!$C$40,"YES","NO"),IF($G193&gt;=Classify!$C$41,"YES","NO")))))</f>
        <v/>
      </c>
      <c r="I193" s="12" t="str">
        <f aca="false">IF($D193="","",INDEX(Doc_Types!$D$2:$D$77,MATCH($D193,DocTypeList,0)))</f>
        <v/>
      </c>
      <c r="J193" s="37" t="str">
        <f aca="false">IF($D193="","",IF($F193="Yes",INDEX(Doc_Types!$E$2:$E$77,MATCH($D193,DocTypeList,0)),IF(LEFT($H193,6)="REVIEW","Type is 'Depends' — classification is decided by content; paste the scope text to resolve.",IF($H193="YES","Type default is '"&amp;$F193&amp;"' but the text contains "&amp;$G193&amp;" controlled technical term(s) — classification follows content (Wassenaar ML22 technology).",INDEX(Doc_Types!$E$2:$E$77,MATCH($D193,DocTypeList,0))&amp;" Text scan: "&amp;$G193&amp;" controlled term(s), below threshold."))))</f>
        <v/>
      </c>
      <c r="K193" s="51" t="str">
        <f aca="false">IF($H193="YES","EXPORT CONTROLLED",IF($H193="NO","NOT EXPORT CONTROLLED",IF($D193="","","— pending review —")))</f>
        <v/>
      </c>
    </row>
    <row r="194" customFormat="false" ht="30" hidden="false" customHeight="true" outlineLevel="0" collapsed="false">
      <c r="A194" s="48" t="n">
        <v>187</v>
      </c>
      <c r="B194" s="25"/>
      <c r="C194" s="25"/>
      <c r="D194" s="25"/>
      <c r="E194" s="25"/>
      <c r="F194" s="50" t="str">
        <f aca="false">IF($D194="","",INDEX(Doc_Types!$C$2:$C$77,MATCH($D194,DocTypeList,0)))</f>
        <v/>
      </c>
      <c r="G194" s="32" t="str">
        <f aca="false">IF($D194="","",IF($E194="",0,SUMPRODUCT(--ISNUMBER(SEARCH(Keywords!$A$2:$A$136,$E194)),--(Keywords!$A$2:$A$136&lt;&gt;""))))</f>
        <v/>
      </c>
      <c r="H194" s="51" t="str">
        <f aca="false">IF($D194="","",IF($F194="Yes","YES",IF(AND($F194="Depends",$E194=""),"REVIEW — add scope text",IF($F194="Depends",IF($G194&gt;=Classify!$C$40,"YES","NO"),IF($G194&gt;=Classify!$C$41,"YES","NO")))))</f>
        <v/>
      </c>
      <c r="I194" s="12" t="str">
        <f aca="false">IF($D194="","",INDEX(Doc_Types!$D$2:$D$77,MATCH($D194,DocTypeList,0)))</f>
        <v/>
      </c>
      <c r="J194" s="37" t="str">
        <f aca="false">IF($D194="","",IF($F194="Yes",INDEX(Doc_Types!$E$2:$E$77,MATCH($D194,DocTypeList,0)),IF(LEFT($H194,6)="REVIEW","Type is 'Depends' — classification is decided by content; paste the scope text to resolve.",IF($H194="YES","Type default is '"&amp;$F194&amp;"' but the text contains "&amp;$G194&amp;" controlled technical term(s) — classification follows content (Wassenaar ML22 technology).",INDEX(Doc_Types!$E$2:$E$77,MATCH($D194,DocTypeList,0))&amp;" Text scan: "&amp;$G194&amp;" controlled term(s), below threshold."))))</f>
        <v/>
      </c>
      <c r="K194" s="51" t="str">
        <f aca="false">IF($H194="YES","EXPORT CONTROLLED",IF($H194="NO","NOT EXPORT CONTROLLED",IF($D194="","","— pending review —")))</f>
        <v/>
      </c>
    </row>
    <row r="195" customFormat="false" ht="30" hidden="false" customHeight="true" outlineLevel="0" collapsed="false">
      <c r="A195" s="48" t="n">
        <v>188</v>
      </c>
      <c r="B195" s="25"/>
      <c r="C195" s="25"/>
      <c r="D195" s="25"/>
      <c r="E195" s="25"/>
      <c r="F195" s="50" t="str">
        <f aca="false">IF($D195="","",INDEX(Doc_Types!$C$2:$C$77,MATCH($D195,DocTypeList,0)))</f>
        <v/>
      </c>
      <c r="G195" s="32" t="str">
        <f aca="false">IF($D195="","",IF($E195="",0,SUMPRODUCT(--ISNUMBER(SEARCH(Keywords!$A$2:$A$136,$E195)),--(Keywords!$A$2:$A$136&lt;&gt;""))))</f>
        <v/>
      </c>
      <c r="H195" s="51" t="str">
        <f aca="false">IF($D195="","",IF($F195="Yes","YES",IF(AND($F195="Depends",$E195=""),"REVIEW — add scope text",IF($F195="Depends",IF($G195&gt;=Classify!$C$40,"YES","NO"),IF($G195&gt;=Classify!$C$41,"YES","NO")))))</f>
        <v/>
      </c>
      <c r="I195" s="12" t="str">
        <f aca="false">IF($D195="","",INDEX(Doc_Types!$D$2:$D$77,MATCH($D195,DocTypeList,0)))</f>
        <v/>
      </c>
      <c r="J195" s="37" t="str">
        <f aca="false">IF($D195="","",IF($F195="Yes",INDEX(Doc_Types!$E$2:$E$77,MATCH($D195,DocTypeList,0)),IF(LEFT($H195,6)="REVIEW","Type is 'Depends' — classification is decided by content; paste the scope text to resolve.",IF($H195="YES","Type default is '"&amp;$F195&amp;"' but the text contains "&amp;$G195&amp;" controlled technical term(s) — classification follows content (Wassenaar ML22 technology).",INDEX(Doc_Types!$E$2:$E$77,MATCH($D195,DocTypeList,0))&amp;" Text scan: "&amp;$G195&amp;" controlled term(s), below threshold."))))</f>
        <v/>
      </c>
      <c r="K195" s="51" t="str">
        <f aca="false">IF($H195="YES","EXPORT CONTROLLED",IF($H195="NO","NOT EXPORT CONTROLLED",IF($D195="","","— pending review —")))</f>
        <v/>
      </c>
    </row>
    <row r="196" customFormat="false" ht="30" hidden="false" customHeight="true" outlineLevel="0" collapsed="false">
      <c r="A196" s="48" t="n">
        <v>189</v>
      </c>
      <c r="B196" s="25"/>
      <c r="C196" s="25"/>
      <c r="D196" s="25"/>
      <c r="E196" s="25"/>
      <c r="F196" s="50" t="str">
        <f aca="false">IF($D196="","",INDEX(Doc_Types!$C$2:$C$77,MATCH($D196,DocTypeList,0)))</f>
        <v/>
      </c>
      <c r="G196" s="32" t="str">
        <f aca="false">IF($D196="","",IF($E196="",0,SUMPRODUCT(--ISNUMBER(SEARCH(Keywords!$A$2:$A$136,$E196)),--(Keywords!$A$2:$A$136&lt;&gt;""))))</f>
        <v/>
      </c>
      <c r="H196" s="51" t="str">
        <f aca="false">IF($D196="","",IF($F196="Yes","YES",IF(AND($F196="Depends",$E196=""),"REVIEW — add scope text",IF($F196="Depends",IF($G196&gt;=Classify!$C$40,"YES","NO"),IF($G196&gt;=Classify!$C$41,"YES","NO")))))</f>
        <v/>
      </c>
      <c r="I196" s="12" t="str">
        <f aca="false">IF($D196="","",INDEX(Doc_Types!$D$2:$D$77,MATCH($D196,DocTypeList,0)))</f>
        <v/>
      </c>
      <c r="J196" s="37" t="str">
        <f aca="false">IF($D196="","",IF($F196="Yes",INDEX(Doc_Types!$E$2:$E$77,MATCH($D196,DocTypeList,0)),IF(LEFT($H196,6)="REVIEW","Type is 'Depends' — classification is decided by content; paste the scope text to resolve.",IF($H196="YES","Type default is '"&amp;$F196&amp;"' but the text contains "&amp;$G196&amp;" controlled technical term(s) — classification follows content (Wassenaar ML22 technology).",INDEX(Doc_Types!$E$2:$E$77,MATCH($D196,DocTypeList,0))&amp;" Text scan: "&amp;$G196&amp;" controlled term(s), below threshold."))))</f>
        <v/>
      </c>
      <c r="K196" s="51" t="str">
        <f aca="false">IF($H196="YES","EXPORT CONTROLLED",IF($H196="NO","NOT EXPORT CONTROLLED",IF($D196="","","— pending review —")))</f>
        <v/>
      </c>
    </row>
    <row r="197" customFormat="false" ht="30" hidden="false" customHeight="true" outlineLevel="0" collapsed="false">
      <c r="A197" s="48" t="n">
        <v>190</v>
      </c>
      <c r="B197" s="25"/>
      <c r="C197" s="25"/>
      <c r="D197" s="25"/>
      <c r="E197" s="25"/>
      <c r="F197" s="50" t="str">
        <f aca="false">IF($D197="","",INDEX(Doc_Types!$C$2:$C$77,MATCH($D197,DocTypeList,0)))</f>
        <v/>
      </c>
      <c r="G197" s="32" t="str">
        <f aca="false">IF($D197="","",IF($E197="",0,SUMPRODUCT(--ISNUMBER(SEARCH(Keywords!$A$2:$A$136,$E197)),--(Keywords!$A$2:$A$136&lt;&gt;""))))</f>
        <v/>
      </c>
      <c r="H197" s="51" t="str">
        <f aca="false">IF($D197="","",IF($F197="Yes","YES",IF(AND($F197="Depends",$E197=""),"REVIEW — add scope text",IF($F197="Depends",IF($G197&gt;=Classify!$C$40,"YES","NO"),IF($G197&gt;=Classify!$C$41,"YES","NO")))))</f>
        <v/>
      </c>
      <c r="I197" s="12" t="str">
        <f aca="false">IF($D197="","",INDEX(Doc_Types!$D$2:$D$77,MATCH($D197,DocTypeList,0)))</f>
        <v/>
      </c>
      <c r="J197" s="37" t="str">
        <f aca="false">IF($D197="","",IF($F197="Yes",INDEX(Doc_Types!$E$2:$E$77,MATCH($D197,DocTypeList,0)),IF(LEFT($H197,6)="REVIEW","Type is 'Depends' — classification is decided by content; paste the scope text to resolve.",IF($H197="YES","Type default is '"&amp;$F197&amp;"' but the text contains "&amp;$G197&amp;" controlled technical term(s) — classification follows content (Wassenaar ML22 technology).",INDEX(Doc_Types!$E$2:$E$77,MATCH($D197,DocTypeList,0))&amp;" Text scan: "&amp;$G197&amp;" controlled term(s), below threshold."))))</f>
        <v/>
      </c>
      <c r="K197" s="51" t="str">
        <f aca="false">IF($H197="YES","EXPORT CONTROLLED",IF($H197="NO","NOT EXPORT CONTROLLED",IF($D197="","","— pending review —")))</f>
        <v/>
      </c>
    </row>
    <row r="198" customFormat="false" ht="30" hidden="false" customHeight="true" outlineLevel="0" collapsed="false">
      <c r="A198" s="48" t="n">
        <v>191</v>
      </c>
      <c r="B198" s="25"/>
      <c r="C198" s="25"/>
      <c r="D198" s="25"/>
      <c r="E198" s="25"/>
      <c r="F198" s="50" t="str">
        <f aca="false">IF($D198="","",INDEX(Doc_Types!$C$2:$C$77,MATCH($D198,DocTypeList,0)))</f>
        <v/>
      </c>
      <c r="G198" s="32" t="str">
        <f aca="false">IF($D198="","",IF($E198="",0,SUMPRODUCT(--ISNUMBER(SEARCH(Keywords!$A$2:$A$136,$E198)),--(Keywords!$A$2:$A$136&lt;&gt;""))))</f>
        <v/>
      </c>
      <c r="H198" s="51" t="str">
        <f aca="false">IF($D198="","",IF($F198="Yes","YES",IF(AND($F198="Depends",$E198=""),"REVIEW — add scope text",IF($F198="Depends",IF($G198&gt;=Classify!$C$40,"YES","NO"),IF($G198&gt;=Classify!$C$41,"YES","NO")))))</f>
        <v/>
      </c>
      <c r="I198" s="12" t="str">
        <f aca="false">IF($D198="","",INDEX(Doc_Types!$D$2:$D$77,MATCH($D198,DocTypeList,0)))</f>
        <v/>
      </c>
      <c r="J198" s="37" t="str">
        <f aca="false">IF($D198="","",IF($F198="Yes",INDEX(Doc_Types!$E$2:$E$77,MATCH($D198,DocTypeList,0)),IF(LEFT($H198,6)="REVIEW","Type is 'Depends' — classification is decided by content; paste the scope text to resolve.",IF($H198="YES","Type default is '"&amp;$F198&amp;"' but the text contains "&amp;$G198&amp;" controlled technical term(s) — classification follows content (Wassenaar ML22 technology).",INDEX(Doc_Types!$E$2:$E$77,MATCH($D198,DocTypeList,0))&amp;" Text scan: "&amp;$G198&amp;" controlled term(s), below threshold."))))</f>
        <v/>
      </c>
      <c r="K198" s="51" t="str">
        <f aca="false">IF($H198="YES","EXPORT CONTROLLED",IF($H198="NO","NOT EXPORT CONTROLLED",IF($D198="","","— pending review —")))</f>
        <v/>
      </c>
    </row>
    <row r="199" customFormat="false" ht="30" hidden="false" customHeight="true" outlineLevel="0" collapsed="false">
      <c r="A199" s="48" t="n">
        <v>192</v>
      </c>
      <c r="B199" s="25"/>
      <c r="C199" s="25"/>
      <c r="D199" s="25"/>
      <c r="E199" s="25"/>
      <c r="F199" s="50" t="str">
        <f aca="false">IF($D199="","",INDEX(Doc_Types!$C$2:$C$77,MATCH($D199,DocTypeList,0)))</f>
        <v/>
      </c>
      <c r="G199" s="32" t="str">
        <f aca="false">IF($D199="","",IF($E199="",0,SUMPRODUCT(--ISNUMBER(SEARCH(Keywords!$A$2:$A$136,$E199)),--(Keywords!$A$2:$A$136&lt;&gt;""))))</f>
        <v/>
      </c>
      <c r="H199" s="51" t="str">
        <f aca="false">IF($D199="","",IF($F199="Yes","YES",IF(AND($F199="Depends",$E199=""),"REVIEW — add scope text",IF($F199="Depends",IF($G199&gt;=Classify!$C$40,"YES","NO"),IF($G199&gt;=Classify!$C$41,"YES","NO")))))</f>
        <v/>
      </c>
      <c r="I199" s="12" t="str">
        <f aca="false">IF($D199="","",INDEX(Doc_Types!$D$2:$D$77,MATCH($D199,DocTypeList,0)))</f>
        <v/>
      </c>
      <c r="J199" s="37" t="str">
        <f aca="false">IF($D199="","",IF($F199="Yes",INDEX(Doc_Types!$E$2:$E$77,MATCH($D199,DocTypeList,0)),IF(LEFT($H199,6)="REVIEW","Type is 'Depends' — classification is decided by content; paste the scope text to resolve.",IF($H199="YES","Type default is '"&amp;$F199&amp;"' but the text contains "&amp;$G199&amp;" controlled technical term(s) — classification follows content (Wassenaar ML22 technology).",INDEX(Doc_Types!$E$2:$E$77,MATCH($D199,DocTypeList,0))&amp;" Text scan: "&amp;$G199&amp;" controlled term(s), below threshold."))))</f>
        <v/>
      </c>
      <c r="K199" s="51" t="str">
        <f aca="false">IF($H199="YES","EXPORT CONTROLLED",IF($H199="NO","NOT EXPORT CONTROLLED",IF($D199="","","— pending review —")))</f>
        <v/>
      </c>
    </row>
    <row r="200" customFormat="false" ht="30" hidden="false" customHeight="true" outlineLevel="0" collapsed="false">
      <c r="A200" s="48" t="n">
        <v>193</v>
      </c>
      <c r="B200" s="25"/>
      <c r="C200" s="25"/>
      <c r="D200" s="25"/>
      <c r="E200" s="25"/>
      <c r="F200" s="50" t="str">
        <f aca="false">IF($D200="","",INDEX(Doc_Types!$C$2:$C$77,MATCH($D200,DocTypeList,0)))</f>
        <v/>
      </c>
      <c r="G200" s="32" t="str">
        <f aca="false">IF($D200="","",IF($E200="",0,SUMPRODUCT(--ISNUMBER(SEARCH(Keywords!$A$2:$A$136,$E200)),--(Keywords!$A$2:$A$136&lt;&gt;""))))</f>
        <v/>
      </c>
      <c r="H200" s="51" t="str">
        <f aca="false">IF($D200="","",IF($F200="Yes","YES",IF(AND($F200="Depends",$E200=""),"REVIEW — add scope text",IF($F200="Depends",IF($G200&gt;=Classify!$C$40,"YES","NO"),IF($G200&gt;=Classify!$C$41,"YES","NO")))))</f>
        <v/>
      </c>
      <c r="I200" s="12" t="str">
        <f aca="false">IF($D200="","",INDEX(Doc_Types!$D$2:$D$77,MATCH($D200,DocTypeList,0)))</f>
        <v/>
      </c>
      <c r="J200" s="37" t="str">
        <f aca="false">IF($D200="","",IF($F200="Yes",INDEX(Doc_Types!$E$2:$E$77,MATCH($D200,DocTypeList,0)),IF(LEFT($H200,6)="REVIEW","Type is 'Depends' — classification is decided by content; paste the scope text to resolve.",IF($H200="YES","Type default is '"&amp;$F200&amp;"' but the text contains "&amp;$G200&amp;" controlled technical term(s) — classification follows content (Wassenaar ML22 technology).",INDEX(Doc_Types!$E$2:$E$77,MATCH($D200,DocTypeList,0))&amp;" Text scan: "&amp;$G200&amp;" controlled term(s), below threshold."))))</f>
        <v/>
      </c>
      <c r="K200" s="51" t="str">
        <f aca="false">IF($H200="YES","EXPORT CONTROLLED",IF($H200="NO","NOT EXPORT CONTROLLED",IF($D200="","","— pending review —")))</f>
        <v/>
      </c>
    </row>
    <row r="201" customFormat="false" ht="30" hidden="false" customHeight="true" outlineLevel="0" collapsed="false">
      <c r="A201" s="48" t="n">
        <v>194</v>
      </c>
      <c r="B201" s="25"/>
      <c r="C201" s="25"/>
      <c r="D201" s="25"/>
      <c r="E201" s="25"/>
      <c r="F201" s="50" t="str">
        <f aca="false">IF($D201="","",INDEX(Doc_Types!$C$2:$C$77,MATCH($D201,DocTypeList,0)))</f>
        <v/>
      </c>
      <c r="G201" s="32" t="str">
        <f aca="false">IF($D201="","",IF($E201="",0,SUMPRODUCT(--ISNUMBER(SEARCH(Keywords!$A$2:$A$136,$E201)),--(Keywords!$A$2:$A$136&lt;&gt;""))))</f>
        <v/>
      </c>
      <c r="H201" s="51" t="str">
        <f aca="false">IF($D201="","",IF($F201="Yes","YES",IF(AND($F201="Depends",$E201=""),"REVIEW — add scope text",IF($F201="Depends",IF($G201&gt;=Classify!$C$40,"YES","NO"),IF($G201&gt;=Classify!$C$41,"YES","NO")))))</f>
        <v/>
      </c>
      <c r="I201" s="12" t="str">
        <f aca="false">IF($D201="","",INDEX(Doc_Types!$D$2:$D$77,MATCH($D201,DocTypeList,0)))</f>
        <v/>
      </c>
      <c r="J201" s="37" t="str">
        <f aca="false">IF($D201="","",IF($F201="Yes",INDEX(Doc_Types!$E$2:$E$77,MATCH($D201,DocTypeList,0)),IF(LEFT($H201,6)="REVIEW","Type is 'Depends' — classification is decided by content; paste the scope text to resolve.",IF($H201="YES","Type default is '"&amp;$F201&amp;"' but the text contains "&amp;$G201&amp;" controlled technical term(s) — classification follows content (Wassenaar ML22 technology).",INDEX(Doc_Types!$E$2:$E$77,MATCH($D201,DocTypeList,0))&amp;" Text scan: "&amp;$G201&amp;" controlled term(s), below threshold."))))</f>
        <v/>
      </c>
      <c r="K201" s="51" t="str">
        <f aca="false">IF($H201="YES","EXPORT CONTROLLED",IF($H201="NO","NOT EXPORT CONTROLLED",IF($D201="","","— pending review —")))</f>
        <v/>
      </c>
    </row>
    <row r="202" customFormat="false" ht="30" hidden="false" customHeight="true" outlineLevel="0" collapsed="false">
      <c r="A202" s="48" t="n">
        <v>195</v>
      </c>
      <c r="B202" s="25"/>
      <c r="C202" s="25"/>
      <c r="D202" s="25"/>
      <c r="E202" s="25"/>
      <c r="F202" s="50" t="str">
        <f aca="false">IF($D202="","",INDEX(Doc_Types!$C$2:$C$77,MATCH($D202,DocTypeList,0)))</f>
        <v/>
      </c>
      <c r="G202" s="32" t="str">
        <f aca="false">IF($D202="","",IF($E202="",0,SUMPRODUCT(--ISNUMBER(SEARCH(Keywords!$A$2:$A$136,$E202)),--(Keywords!$A$2:$A$136&lt;&gt;""))))</f>
        <v/>
      </c>
      <c r="H202" s="51" t="str">
        <f aca="false">IF($D202="","",IF($F202="Yes","YES",IF(AND($F202="Depends",$E202=""),"REVIEW — add scope text",IF($F202="Depends",IF($G202&gt;=Classify!$C$40,"YES","NO"),IF($G202&gt;=Classify!$C$41,"YES","NO")))))</f>
        <v/>
      </c>
      <c r="I202" s="12" t="str">
        <f aca="false">IF($D202="","",INDEX(Doc_Types!$D$2:$D$77,MATCH($D202,DocTypeList,0)))</f>
        <v/>
      </c>
      <c r="J202" s="37" t="str">
        <f aca="false">IF($D202="","",IF($F202="Yes",INDEX(Doc_Types!$E$2:$E$77,MATCH($D202,DocTypeList,0)),IF(LEFT($H202,6)="REVIEW","Type is 'Depends' — classification is decided by content; paste the scope text to resolve.",IF($H202="YES","Type default is '"&amp;$F202&amp;"' but the text contains "&amp;$G202&amp;" controlled technical term(s) — classification follows content (Wassenaar ML22 technology).",INDEX(Doc_Types!$E$2:$E$77,MATCH($D202,DocTypeList,0))&amp;" Text scan: "&amp;$G202&amp;" controlled term(s), below threshold."))))</f>
        <v/>
      </c>
      <c r="K202" s="51" t="str">
        <f aca="false">IF($H202="YES","EXPORT CONTROLLED",IF($H202="NO","NOT EXPORT CONTROLLED",IF($D202="","","— pending review —")))</f>
        <v/>
      </c>
    </row>
    <row r="203" customFormat="false" ht="30" hidden="false" customHeight="true" outlineLevel="0" collapsed="false">
      <c r="A203" s="48" t="n">
        <v>196</v>
      </c>
      <c r="B203" s="25"/>
      <c r="C203" s="25"/>
      <c r="D203" s="25"/>
      <c r="E203" s="25"/>
      <c r="F203" s="50" t="str">
        <f aca="false">IF($D203="","",INDEX(Doc_Types!$C$2:$C$77,MATCH($D203,DocTypeList,0)))</f>
        <v/>
      </c>
      <c r="G203" s="32" t="str">
        <f aca="false">IF($D203="","",IF($E203="",0,SUMPRODUCT(--ISNUMBER(SEARCH(Keywords!$A$2:$A$136,$E203)),--(Keywords!$A$2:$A$136&lt;&gt;""))))</f>
        <v/>
      </c>
      <c r="H203" s="51" t="str">
        <f aca="false">IF($D203="","",IF($F203="Yes","YES",IF(AND($F203="Depends",$E203=""),"REVIEW — add scope text",IF($F203="Depends",IF($G203&gt;=Classify!$C$40,"YES","NO"),IF($G203&gt;=Classify!$C$41,"YES","NO")))))</f>
        <v/>
      </c>
      <c r="I203" s="12" t="str">
        <f aca="false">IF($D203="","",INDEX(Doc_Types!$D$2:$D$77,MATCH($D203,DocTypeList,0)))</f>
        <v/>
      </c>
      <c r="J203" s="37" t="str">
        <f aca="false">IF($D203="","",IF($F203="Yes",INDEX(Doc_Types!$E$2:$E$77,MATCH($D203,DocTypeList,0)),IF(LEFT($H203,6)="REVIEW","Type is 'Depends' — classification is decided by content; paste the scope text to resolve.",IF($H203="YES","Type default is '"&amp;$F203&amp;"' but the text contains "&amp;$G203&amp;" controlled technical term(s) — classification follows content (Wassenaar ML22 technology).",INDEX(Doc_Types!$E$2:$E$77,MATCH($D203,DocTypeList,0))&amp;" Text scan: "&amp;$G203&amp;" controlled term(s), below threshold."))))</f>
        <v/>
      </c>
      <c r="K203" s="51" t="str">
        <f aca="false">IF($H203="YES","EXPORT CONTROLLED",IF($H203="NO","NOT EXPORT CONTROLLED",IF($D203="","","— pending review —")))</f>
        <v/>
      </c>
    </row>
    <row r="204" customFormat="false" ht="30" hidden="false" customHeight="true" outlineLevel="0" collapsed="false">
      <c r="A204" s="48" t="n">
        <v>197</v>
      </c>
      <c r="B204" s="25"/>
      <c r="C204" s="25"/>
      <c r="D204" s="25"/>
      <c r="E204" s="25"/>
      <c r="F204" s="50" t="str">
        <f aca="false">IF($D204="","",INDEX(Doc_Types!$C$2:$C$77,MATCH($D204,DocTypeList,0)))</f>
        <v/>
      </c>
      <c r="G204" s="32" t="str">
        <f aca="false">IF($D204="","",IF($E204="",0,SUMPRODUCT(--ISNUMBER(SEARCH(Keywords!$A$2:$A$136,$E204)),--(Keywords!$A$2:$A$136&lt;&gt;""))))</f>
        <v/>
      </c>
      <c r="H204" s="51" t="str">
        <f aca="false">IF($D204="","",IF($F204="Yes","YES",IF(AND($F204="Depends",$E204=""),"REVIEW — add scope text",IF($F204="Depends",IF($G204&gt;=Classify!$C$40,"YES","NO"),IF($G204&gt;=Classify!$C$41,"YES","NO")))))</f>
        <v/>
      </c>
      <c r="I204" s="12" t="str">
        <f aca="false">IF($D204="","",INDEX(Doc_Types!$D$2:$D$77,MATCH($D204,DocTypeList,0)))</f>
        <v/>
      </c>
      <c r="J204" s="37" t="str">
        <f aca="false">IF($D204="","",IF($F204="Yes",INDEX(Doc_Types!$E$2:$E$77,MATCH($D204,DocTypeList,0)),IF(LEFT($H204,6)="REVIEW","Type is 'Depends' — classification is decided by content; paste the scope text to resolve.",IF($H204="YES","Type default is '"&amp;$F204&amp;"' but the text contains "&amp;$G204&amp;" controlled technical term(s) — classification follows content (Wassenaar ML22 technology).",INDEX(Doc_Types!$E$2:$E$77,MATCH($D204,DocTypeList,0))&amp;" Text scan: "&amp;$G204&amp;" controlled term(s), below threshold."))))</f>
        <v/>
      </c>
      <c r="K204" s="51" t="str">
        <f aca="false">IF($H204="YES","EXPORT CONTROLLED",IF($H204="NO","NOT EXPORT CONTROLLED",IF($D204="","","— pending review —")))</f>
        <v/>
      </c>
    </row>
    <row r="205" customFormat="false" ht="30" hidden="false" customHeight="true" outlineLevel="0" collapsed="false">
      <c r="A205" s="48" t="n">
        <v>198</v>
      </c>
      <c r="B205" s="25"/>
      <c r="C205" s="25"/>
      <c r="D205" s="25"/>
      <c r="E205" s="25"/>
      <c r="F205" s="50" t="str">
        <f aca="false">IF($D205="","",INDEX(Doc_Types!$C$2:$C$77,MATCH($D205,DocTypeList,0)))</f>
        <v/>
      </c>
      <c r="G205" s="32" t="str">
        <f aca="false">IF($D205="","",IF($E205="",0,SUMPRODUCT(--ISNUMBER(SEARCH(Keywords!$A$2:$A$136,$E205)),--(Keywords!$A$2:$A$136&lt;&gt;""))))</f>
        <v/>
      </c>
      <c r="H205" s="51" t="str">
        <f aca="false">IF($D205="","",IF($F205="Yes","YES",IF(AND($F205="Depends",$E205=""),"REVIEW — add scope text",IF($F205="Depends",IF($G205&gt;=Classify!$C$40,"YES","NO"),IF($G205&gt;=Classify!$C$41,"YES","NO")))))</f>
        <v/>
      </c>
      <c r="I205" s="12" t="str">
        <f aca="false">IF($D205="","",INDEX(Doc_Types!$D$2:$D$77,MATCH($D205,DocTypeList,0)))</f>
        <v/>
      </c>
      <c r="J205" s="37" t="str">
        <f aca="false">IF($D205="","",IF($F205="Yes",INDEX(Doc_Types!$E$2:$E$77,MATCH($D205,DocTypeList,0)),IF(LEFT($H205,6)="REVIEW","Type is 'Depends' — classification is decided by content; paste the scope text to resolve.",IF($H205="YES","Type default is '"&amp;$F205&amp;"' but the text contains "&amp;$G205&amp;" controlled technical term(s) — classification follows content (Wassenaar ML22 technology).",INDEX(Doc_Types!$E$2:$E$77,MATCH($D205,DocTypeList,0))&amp;" Text scan: "&amp;$G205&amp;" controlled term(s), below threshold."))))</f>
        <v/>
      </c>
      <c r="K205" s="51" t="str">
        <f aca="false">IF($H205="YES","EXPORT CONTROLLED",IF($H205="NO","NOT EXPORT CONTROLLED",IF($D205="","","— pending review —")))</f>
        <v/>
      </c>
    </row>
    <row r="206" customFormat="false" ht="30" hidden="false" customHeight="true" outlineLevel="0" collapsed="false">
      <c r="A206" s="48" t="n">
        <v>199</v>
      </c>
      <c r="B206" s="25"/>
      <c r="C206" s="25"/>
      <c r="D206" s="25"/>
      <c r="E206" s="25"/>
      <c r="F206" s="50" t="str">
        <f aca="false">IF($D206="","",INDEX(Doc_Types!$C$2:$C$77,MATCH($D206,DocTypeList,0)))</f>
        <v/>
      </c>
      <c r="G206" s="32" t="str">
        <f aca="false">IF($D206="","",IF($E206="",0,SUMPRODUCT(--ISNUMBER(SEARCH(Keywords!$A$2:$A$136,$E206)),--(Keywords!$A$2:$A$136&lt;&gt;""))))</f>
        <v/>
      </c>
      <c r="H206" s="51" t="str">
        <f aca="false">IF($D206="","",IF($F206="Yes","YES",IF(AND($F206="Depends",$E206=""),"REVIEW — add scope text",IF($F206="Depends",IF($G206&gt;=Classify!$C$40,"YES","NO"),IF($G206&gt;=Classify!$C$41,"YES","NO")))))</f>
        <v/>
      </c>
      <c r="I206" s="12" t="str">
        <f aca="false">IF($D206="","",INDEX(Doc_Types!$D$2:$D$77,MATCH($D206,DocTypeList,0)))</f>
        <v/>
      </c>
      <c r="J206" s="37" t="str">
        <f aca="false">IF($D206="","",IF($F206="Yes",INDEX(Doc_Types!$E$2:$E$77,MATCH($D206,DocTypeList,0)),IF(LEFT($H206,6)="REVIEW","Type is 'Depends' — classification is decided by content; paste the scope text to resolve.",IF($H206="YES","Type default is '"&amp;$F206&amp;"' but the text contains "&amp;$G206&amp;" controlled technical term(s) — classification follows content (Wassenaar ML22 technology).",INDEX(Doc_Types!$E$2:$E$77,MATCH($D206,DocTypeList,0))&amp;" Text scan: "&amp;$G206&amp;" controlled term(s), below threshold."))))</f>
        <v/>
      </c>
      <c r="K206" s="51" t="str">
        <f aca="false">IF($H206="YES","EXPORT CONTROLLED",IF($H206="NO","NOT EXPORT CONTROLLED",IF($D206="","","— pending review —")))</f>
        <v/>
      </c>
    </row>
    <row r="207" customFormat="false" ht="30" hidden="false" customHeight="true" outlineLevel="0" collapsed="false">
      <c r="A207" s="48" t="n">
        <v>200</v>
      </c>
      <c r="B207" s="25"/>
      <c r="C207" s="25"/>
      <c r="D207" s="25"/>
      <c r="E207" s="25"/>
      <c r="F207" s="50" t="str">
        <f aca="false">IF($D207="","",INDEX(Doc_Types!$C$2:$C$77,MATCH($D207,DocTypeList,0)))</f>
        <v/>
      </c>
      <c r="G207" s="32" t="str">
        <f aca="false">IF($D207="","",IF($E207="",0,SUMPRODUCT(--ISNUMBER(SEARCH(Keywords!$A$2:$A$136,$E207)),--(Keywords!$A$2:$A$136&lt;&gt;""))))</f>
        <v/>
      </c>
      <c r="H207" s="51" t="str">
        <f aca="false">IF($D207="","",IF($F207="Yes","YES",IF(AND($F207="Depends",$E207=""),"REVIEW — add scope text",IF($F207="Depends",IF($G207&gt;=Classify!$C$40,"YES","NO"),IF($G207&gt;=Classify!$C$41,"YES","NO")))))</f>
        <v/>
      </c>
      <c r="I207" s="12" t="str">
        <f aca="false">IF($D207="","",INDEX(Doc_Types!$D$2:$D$77,MATCH($D207,DocTypeList,0)))</f>
        <v/>
      </c>
      <c r="J207" s="37" t="str">
        <f aca="false">IF($D207="","",IF($F207="Yes",INDEX(Doc_Types!$E$2:$E$77,MATCH($D207,DocTypeList,0)),IF(LEFT($H207,6)="REVIEW","Type is 'Depends' — classification is decided by content; paste the scope text to resolve.",IF($H207="YES","Type default is '"&amp;$F207&amp;"' but the text contains "&amp;$G207&amp;" controlled technical term(s) — classification follows content (Wassenaar ML22 technology).",INDEX(Doc_Types!$E$2:$E$77,MATCH($D207,DocTypeList,0))&amp;" Text scan: "&amp;$G207&amp;" controlled term(s), below threshold."))))</f>
        <v/>
      </c>
      <c r="K207" s="51" t="str">
        <f aca="false">IF($H207="YES","EXPORT CONTROLLED",IF($H207="NO","NOT EXPORT CONTROLLED",IF($D207="","","— pending review —")))</f>
        <v/>
      </c>
    </row>
    <row r="209" customFormat="false" ht="15" hidden="false" customHeight="false" outlineLevel="0" collapsed="false">
      <c r="B209" s="52" t="s">
        <v>98</v>
      </c>
    </row>
  </sheetData>
  <autoFilter ref="A7:K207"/>
  <mergeCells count="3">
    <mergeCell ref="A1:K1"/>
    <mergeCell ref="A2:K2"/>
    <mergeCell ref="C4:C5"/>
  </mergeCells>
  <conditionalFormatting sqref="H8:H207">
    <cfRule type="expression" priority="2" aboveAverage="0" equalAverage="0" bottom="0" percent="0" rank="0" text="" dxfId="0">
      <formula>ISNUMBER(SEARCH("ACCEPTED",H8))</formula>
    </cfRule>
    <cfRule type="expression" priority="3" aboveAverage="0" equalAverage="0" bottom="0" percent="0" rank="0" text="" dxfId="1">
      <formula>ISNUMBER(SEARCH("CONDITION",H8))</formula>
    </cfRule>
    <cfRule type="expression" priority="4" aboveAverage="0" equalAverage="0" bottom="0" percent="0" rank="0" text="" dxfId="1">
      <formula>ISNUMBER(SEARCH("INCOMPLETE",H8))</formula>
    </cfRule>
    <cfRule type="expression" priority="5" aboveAverage="0" equalAverage="0" bottom="0" percent="0" rank="0" text="" dxfId="1">
      <formula>ISNUMBER(SEARCH("REVIEW",H8))</formula>
    </cfRule>
    <cfRule type="expression" priority="6" aboveAverage="0" equalAverage="0" bottom="0" percent="0" rank="0" text="" dxfId="2">
      <formula>ISNUMBER(SEARCH("REJECTED",H8))</formula>
    </cfRule>
    <cfRule type="expression" priority="7" aboveAverage="0" equalAverage="0" bottom="0" percent="0" rank="0" text="" dxfId="2">
      <formula>ISNUMBER(SEARCH("REMAINS EXPORT CONTROLLED",H8))</formula>
    </cfRule>
    <cfRule type="expression" priority="8" aboveAverage="0" equalAverage="0" bottom="0" percent="0" rank="0" text="" dxfId="0">
      <formula>LEFT(H8,2)="NO"</formula>
    </cfRule>
    <cfRule type="expression" priority="9" aboveAverage="0" equalAverage="0" bottom="0" percent="0" rank="0" text="" dxfId="2">
      <formula>LEFT(H8,3)="YES"</formula>
    </cfRule>
    <cfRule type="expression" priority="10" aboveAverage="0" equalAverage="0" bottom="0" percent="0" rank="0" text="" dxfId="1">
      <formula>LEFT(H8,4)="DUAL"</formula>
    </cfRule>
  </conditionalFormatting>
  <conditionalFormatting sqref="K8:K207">
    <cfRule type="expression" priority="11" aboveAverage="0" equalAverage="0" bottom="0" percent="0" rank="0" text="" dxfId="2">
      <formula>LEFT(K8,6)="EXPORT"</formula>
    </cfRule>
    <cfRule type="expression" priority="12" aboveAverage="0" equalAverage="0" bottom="0" percent="0" rank="0" text="" dxfId="0">
      <formula>LEFT(K8,3)="NOT"</formula>
    </cfRule>
    <cfRule type="expression" priority="13" aboveAverage="0" equalAverage="0" bottom="0" percent="0" rank="0" text="" dxfId="1">
      <formula>LEFT(K8,1)="—"</formula>
    </cfRule>
  </conditionalFormatting>
  <conditionalFormatting sqref="F8:F207">
    <cfRule type="expression" priority="14" aboveAverage="0" equalAverage="0" bottom="0" percent="0" rank="0" text="" dxfId="16">
      <formula>F8="Yes"</formula>
    </cfRule>
    <cfRule type="expression" priority="15" aboveAverage="0" equalAverage="0" bottom="0" percent="0" rank="0" text="" dxfId="17">
      <formula>F8="No"</formula>
    </cfRule>
    <cfRule type="expression" priority="16" aboveAverage="0" equalAverage="0" bottom="0" percent="0" rank="0" text="" dxfId="18">
      <formula>F8="Depends"</formula>
    </cfRule>
  </conditionalFormatting>
  <dataValidations count="1">
    <dataValidation allowBlank="true" error="Choose a document type from the list (Doc_Types tab)." errorStyle="stop" errorTitle="Document type" operator="between" showDropDown="false" showErrorMessage="true" showInputMessage="false" sqref="D8:D207" type="list">
      <formula1>DocTypeList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E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28"/>
    <col collapsed="false" customWidth="true" hidden="false" outlineLevel="0" max="3" min="3" style="0" width="20"/>
    <col collapsed="false" customWidth="true" hidden="false" outlineLevel="0" max="4" min="4" style="0" width="34"/>
    <col collapsed="false" customWidth="true" hidden="false" outlineLevel="0" max="5" min="5" style="0" width="90"/>
  </cols>
  <sheetData>
    <row r="1" customFormat="false" ht="30" hidden="false" customHeight="true" outlineLevel="0" collapsed="false">
      <c r="A1" s="35" t="s">
        <v>99</v>
      </c>
      <c r="B1" s="35" t="s">
        <v>13</v>
      </c>
      <c r="C1" s="35" t="s">
        <v>100</v>
      </c>
      <c r="D1" s="35" t="s">
        <v>101</v>
      </c>
      <c r="E1" s="35" t="s">
        <v>102</v>
      </c>
    </row>
    <row r="2" customFormat="false" ht="42" hidden="false" customHeight="true" outlineLevel="0" collapsed="false">
      <c r="A2" s="37" t="s">
        <v>97</v>
      </c>
      <c r="B2" s="53" t="s">
        <v>103</v>
      </c>
      <c r="C2" s="7" t="s">
        <v>104</v>
      </c>
      <c r="D2" s="37" t="s">
        <v>105</v>
      </c>
      <c r="E2" s="37" t="s">
        <v>106</v>
      </c>
    </row>
    <row r="3" customFormat="false" ht="42" hidden="false" customHeight="true" outlineLevel="0" collapsed="false">
      <c r="A3" s="37" t="s">
        <v>107</v>
      </c>
      <c r="B3" s="53" t="s">
        <v>103</v>
      </c>
      <c r="C3" s="5" t="s">
        <v>108</v>
      </c>
      <c r="D3" s="37" t="s">
        <v>109</v>
      </c>
      <c r="E3" s="37" t="s">
        <v>110</v>
      </c>
    </row>
    <row r="4" customFormat="false" ht="42" hidden="false" customHeight="true" outlineLevel="0" collapsed="false">
      <c r="A4" s="37" t="s">
        <v>111</v>
      </c>
      <c r="B4" s="53" t="s">
        <v>103</v>
      </c>
      <c r="C4" s="7" t="s">
        <v>104</v>
      </c>
      <c r="D4" s="37" t="s">
        <v>112</v>
      </c>
      <c r="E4" s="37" t="s">
        <v>113</v>
      </c>
    </row>
    <row r="5" customFormat="false" ht="42" hidden="false" customHeight="true" outlineLevel="0" collapsed="false">
      <c r="A5" s="37" t="s">
        <v>89</v>
      </c>
      <c r="B5" s="53" t="s">
        <v>103</v>
      </c>
      <c r="C5" s="5" t="s">
        <v>108</v>
      </c>
      <c r="D5" s="37" t="s">
        <v>114</v>
      </c>
      <c r="E5" s="37" t="s">
        <v>115</v>
      </c>
    </row>
    <row r="6" customFormat="false" ht="42" hidden="false" customHeight="true" outlineLevel="0" collapsed="false">
      <c r="A6" s="37" t="s">
        <v>116</v>
      </c>
      <c r="B6" s="53" t="s">
        <v>103</v>
      </c>
      <c r="C6" s="5" t="s">
        <v>108</v>
      </c>
      <c r="D6" s="37" t="s">
        <v>112</v>
      </c>
      <c r="E6" s="37" t="s">
        <v>117</v>
      </c>
    </row>
    <row r="7" customFormat="false" ht="42" hidden="false" customHeight="true" outlineLevel="0" collapsed="false">
      <c r="A7" s="37" t="s">
        <v>118</v>
      </c>
      <c r="B7" s="53" t="s">
        <v>103</v>
      </c>
      <c r="C7" s="5" t="s">
        <v>108</v>
      </c>
      <c r="D7" s="37" t="s">
        <v>112</v>
      </c>
      <c r="E7" s="37" t="s">
        <v>119</v>
      </c>
    </row>
    <row r="8" customFormat="false" ht="42" hidden="false" customHeight="true" outlineLevel="0" collapsed="false">
      <c r="A8" s="37" t="s">
        <v>120</v>
      </c>
      <c r="B8" s="53" t="s">
        <v>103</v>
      </c>
      <c r="C8" s="7" t="s">
        <v>104</v>
      </c>
      <c r="D8" s="37" t="s">
        <v>112</v>
      </c>
      <c r="E8" s="37" t="s">
        <v>121</v>
      </c>
    </row>
    <row r="9" customFormat="false" ht="42" hidden="false" customHeight="true" outlineLevel="0" collapsed="false">
      <c r="A9" s="37" t="s">
        <v>122</v>
      </c>
      <c r="B9" s="54" t="s">
        <v>123</v>
      </c>
      <c r="C9" s="5" t="s">
        <v>108</v>
      </c>
      <c r="D9" s="37" t="s">
        <v>112</v>
      </c>
      <c r="E9" s="37" t="s">
        <v>124</v>
      </c>
    </row>
    <row r="10" customFormat="false" ht="42" hidden="false" customHeight="true" outlineLevel="0" collapsed="false">
      <c r="A10" s="37" t="s">
        <v>125</v>
      </c>
      <c r="B10" s="54" t="s">
        <v>123</v>
      </c>
      <c r="C10" s="5" t="s">
        <v>108</v>
      </c>
      <c r="D10" s="37" t="s">
        <v>112</v>
      </c>
      <c r="E10" s="37" t="s">
        <v>126</v>
      </c>
    </row>
    <row r="11" customFormat="false" ht="42" hidden="false" customHeight="true" outlineLevel="0" collapsed="false">
      <c r="A11" s="37" t="s">
        <v>127</v>
      </c>
      <c r="B11" s="54" t="s">
        <v>123</v>
      </c>
      <c r="C11" s="5" t="s">
        <v>108</v>
      </c>
      <c r="D11" s="37" t="s">
        <v>112</v>
      </c>
      <c r="E11" s="37" t="s">
        <v>128</v>
      </c>
    </row>
    <row r="12" customFormat="false" ht="42" hidden="false" customHeight="true" outlineLevel="0" collapsed="false">
      <c r="A12" s="37" t="s">
        <v>129</v>
      </c>
      <c r="B12" s="54" t="s">
        <v>123</v>
      </c>
      <c r="C12" s="5" t="s">
        <v>108</v>
      </c>
      <c r="D12" s="37" t="s">
        <v>112</v>
      </c>
      <c r="E12" s="37" t="s">
        <v>130</v>
      </c>
    </row>
    <row r="13" customFormat="false" ht="42" hidden="false" customHeight="true" outlineLevel="0" collapsed="false">
      <c r="A13" s="37" t="s">
        <v>131</v>
      </c>
      <c r="B13" s="54" t="s">
        <v>123</v>
      </c>
      <c r="C13" s="5" t="s">
        <v>108</v>
      </c>
      <c r="D13" s="37" t="s">
        <v>132</v>
      </c>
      <c r="E13" s="37" t="s">
        <v>133</v>
      </c>
    </row>
    <row r="14" customFormat="false" ht="42" hidden="false" customHeight="true" outlineLevel="0" collapsed="false">
      <c r="A14" s="37" t="s">
        <v>134</v>
      </c>
      <c r="B14" s="54" t="s">
        <v>123</v>
      </c>
      <c r="C14" s="5" t="s">
        <v>108</v>
      </c>
      <c r="D14" s="37" t="s">
        <v>132</v>
      </c>
      <c r="E14" s="37" t="s">
        <v>135</v>
      </c>
    </row>
    <row r="15" customFormat="false" ht="42" hidden="false" customHeight="true" outlineLevel="0" collapsed="false">
      <c r="A15" s="37" t="s">
        <v>136</v>
      </c>
      <c r="B15" s="54" t="s">
        <v>123</v>
      </c>
      <c r="C15" s="5" t="s">
        <v>108</v>
      </c>
      <c r="D15" s="37" t="s">
        <v>137</v>
      </c>
      <c r="E15" s="37" t="s">
        <v>138</v>
      </c>
    </row>
    <row r="16" customFormat="false" ht="42" hidden="false" customHeight="true" outlineLevel="0" collapsed="false">
      <c r="A16" s="37" t="s">
        <v>139</v>
      </c>
      <c r="B16" s="54" t="s">
        <v>123</v>
      </c>
      <c r="C16" s="5" t="s">
        <v>108</v>
      </c>
      <c r="D16" s="37" t="s">
        <v>140</v>
      </c>
      <c r="E16" s="37" t="s">
        <v>141</v>
      </c>
    </row>
    <row r="17" customFormat="false" ht="42" hidden="false" customHeight="true" outlineLevel="0" collapsed="false">
      <c r="A17" s="37" t="s">
        <v>142</v>
      </c>
      <c r="B17" s="54" t="s">
        <v>123</v>
      </c>
      <c r="C17" s="5" t="s">
        <v>108</v>
      </c>
      <c r="D17" s="37" t="s">
        <v>143</v>
      </c>
      <c r="E17" s="37" t="s">
        <v>144</v>
      </c>
    </row>
    <row r="18" customFormat="false" ht="42" hidden="false" customHeight="true" outlineLevel="0" collapsed="false">
      <c r="A18" s="37" t="s">
        <v>145</v>
      </c>
      <c r="B18" s="54" t="s">
        <v>123</v>
      </c>
      <c r="C18" s="5" t="s">
        <v>108</v>
      </c>
      <c r="D18" s="37" t="s">
        <v>146</v>
      </c>
      <c r="E18" s="37" t="s">
        <v>147</v>
      </c>
    </row>
    <row r="19" customFormat="false" ht="42" hidden="false" customHeight="true" outlineLevel="0" collapsed="false">
      <c r="A19" s="37" t="s">
        <v>148</v>
      </c>
      <c r="B19" s="54" t="s">
        <v>123</v>
      </c>
      <c r="C19" s="7" t="s">
        <v>104</v>
      </c>
      <c r="D19" s="37" t="s">
        <v>149</v>
      </c>
      <c r="E19" s="37" t="s">
        <v>150</v>
      </c>
    </row>
    <row r="20" customFormat="false" ht="42" hidden="false" customHeight="true" outlineLevel="0" collapsed="false">
      <c r="A20" s="37" t="s">
        <v>151</v>
      </c>
      <c r="B20" s="54" t="s">
        <v>123</v>
      </c>
      <c r="C20" s="7" t="s">
        <v>104</v>
      </c>
      <c r="D20" s="37" t="s">
        <v>112</v>
      </c>
      <c r="E20" s="37" t="s">
        <v>152</v>
      </c>
    </row>
    <row r="21" customFormat="false" ht="42" hidden="false" customHeight="true" outlineLevel="0" collapsed="false">
      <c r="A21" s="37" t="s">
        <v>153</v>
      </c>
      <c r="B21" s="54" t="s">
        <v>123</v>
      </c>
      <c r="C21" s="5" t="s">
        <v>108</v>
      </c>
      <c r="D21" s="37" t="s">
        <v>154</v>
      </c>
      <c r="E21" s="37" t="s">
        <v>155</v>
      </c>
    </row>
    <row r="22" customFormat="false" ht="42" hidden="false" customHeight="true" outlineLevel="0" collapsed="false">
      <c r="A22" s="37" t="s">
        <v>156</v>
      </c>
      <c r="B22" s="54" t="s">
        <v>123</v>
      </c>
      <c r="C22" s="5" t="s">
        <v>108</v>
      </c>
      <c r="D22" s="37" t="s">
        <v>157</v>
      </c>
      <c r="E22" s="37" t="s">
        <v>158</v>
      </c>
    </row>
    <row r="23" customFormat="false" ht="42" hidden="false" customHeight="true" outlineLevel="0" collapsed="false">
      <c r="A23" s="37" t="s">
        <v>159</v>
      </c>
      <c r="B23" s="54" t="s">
        <v>123</v>
      </c>
      <c r="C23" s="7" t="s">
        <v>104</v>
      </c>
      <c r="D23" s="37" t="s">
        <v>112</v>
      </c>
      <c r="E23" s="37" t="s">
        <v>160</v>
      </c>
    </row>
    <row r="24" customFormat="false" ht="42" hidden="false" customHeight="true" outlineLevel="0" collapsed="false">
      <c r="A24" s="37" t="s">
        <v>161</v>
      </c>
      <c r="B24" s="54" t="s">
        <v>123</v>
      </c>
      <c r="C24" s="7" t="s">
        <v>104</v>
      </c>
      <c r="D24" s="37" t="s">
        <v>112</v>
      </c>
      <c r="E24" s="37" t="s">
        <v>162</v>
      </c>
    </row>
    <row r="25" customFormat="false" ht="42" hidden="false" customHeight="true" outlineLevel="0" collapsed="false">
      <c r="A25" s="37" t="s">
        <v>163</v>
      </c>
      <c r="B25" s="54" t="s">
        <v>123</v>
      </c>
      <c r="C25" s="5" t="s">
        <v>108</v>
      </c>
      <c r="D25" s="37" t="s">
        <v>112</v>
      </c>
      <c r="E25" s="37" t="s">
        <v>164</v>
      </c>
    </row>
    <row r="26" customFormat="false" ht="42" hidden="false" customHeight="true" outlineLevel="0" collapsed="false">
      <c r="A26" s="37" t="s">
        <v>165</v>
      </c>
      <c r="B26" s="54" t="s">
        <v>123</v>
      </c>
      <c r="C26" s="5" t="s">
        <v>108</v>
      </c>
      <c r="D26" s="37" t="s">
        <v>166</v>
      </c>
      <c r="E26" s="37" t="s">
        <v>167</v>
      </c>
    </row>
    <row r="27" customFormat="false" ht="42" hidden="false" customHeight="true" outlineLevel="0" collapsed="false">
      <c r="A27" s="37" t="s">
        <v>168</v>
      </c>
      <c r="B27" s="54" t="s">
        <v>123</v>
      </c>
      <c r="C27" s="7" t="s">
        <v>104</v>
      </c>
      <c r="D27" s="37" t="s">
        <v>112</v>
      </c>
      <c r="E27" s="37" t="s">
        <v>169</v>
      </c>
    </row>
    <row r="28" customFormat="false" ht="42" hidden="false" customHeight="true" outlineLevel="0" collapsed="false">
      <c r="A28" s="37" t="s">
        <v>170</v>
      </c>
      <c r="B28" s="55" t="s">
        <v>171</v>
      </c>
      <c r="C28" s="5" t="s">
        <v>108</v>
      </c>
      <c r="D28" s="37" t="s">
        <v>132</v>
      </c>
      <c r="E28" s="37" t="s">
        <v>172</v>
      </c>
    </row>
    <row r="29" customFormat="false" ht="42" hidden="false" customHeight="true" outlineLevel="0" collapsed="false">
      <c r="A29" s="37" t="s">
        <v>173</v>
      </c>
      <c r="B29" s="55" t="s">
        <v>171</v>
      </c>
      <c r="C29" s="5" t="s">
        <v>108</v>
      </c>
      <c r="D29" s="37" t="s">
        <v>174</v>
      </c>
      <c r="E29" s="37" t="s">
        <v>175</v>
      </c>
    </row>
    <row r="30" customFormat="false" ht="42" hidden="false" customHeight="true" outlineLevel="0" collapsed="false">
      <c r="A30" s="37" t="s">
        <v>176</v>
      </c>
      <c r="B30" s="55" t="s">
        <v>171</v>
      </c>
      <c r="C30" s="7" t="s">
        <v>104</v>
      </c>
      <c r="D30" s="37" t="s">
        <v>177</v>
      </c>
      <c r="E30" s="37" t="s">
        <v>178</v>
      </c>
    </row>
    <row r="31" customFormat="false" ht="42" hidden="false" customHeight="true" outlineLevel="0" collapsed="false">
      <c r="A31" s="37" t="s">
        <v>179</v>
      </c>
      <c r="B31" s="55" t="s">
        <v>171</v>
      </c>
      <c r="C31" s="5" t="s">
        <v>108</v>
      </c>
      <c r="D31" s="37" t="s">
        <v>112</v>
      </c>
      <c r="E31" s="37" t="s">
        <v>180</v>
      </c>
    </row>
    <row r="32" customFormat="false" ht="42" hidden="false" customHeight="true" outlineLevel="0" collapsed="false">
      <c r="A32" s="37" t="s">
        <v>181</v>
      </c>
      <c r="B32" s="55" t="s">
        <v>171</v>
      </c>
      <c r="C32" s="5" t="s">
        <v>108</v>
      </c>
      <c r="D32" s="37" t="s">
        <v>112</v>
      </c>
      <c r="E32" s="37" t="s">
        <v>182</v>
      </c>
    </row>
    <row r="33" customFormat="false" ht="42" hidden="false" customHeight="true" outlineLevel="0" collapsed="false">
      <c r="A33" s="37" t="s">
        <v>183</v>
      </c>
      <c r="B33" s="55" t="s">
        <v>171</v>
      </c>
      <c r="C33" s="7" t="s">
        <v>104</v>
      </c>
      <c r="D33" s="37" t="s">
        <v>112</v>
      </c>
      <c r="E33" s="37" t="s">
        <v>184</v>
      </c>
    </row>
    <row r="34" customFormat="false" ht="42" hidden="false" customHeight="true" outlineLevel="0" collapsed="false">
      <c r="A34" s="37" t="s">
        <v>185</v>
      </c>
      <c r="B34" s="55" t="s">
        <v>171</v>
      </c>
      <c r="C34" s="7" t="s">
        <v>104</v>
      </c>
      <c r="D34" s="37" t="s">
        <v>112</v>
      </c>
      <c r="E34" s="37" t="s">
        <v>186</v>
      </c>
    </row>
    <row r="35" customFormat="false" ht="42" hidden="false" customHeight="true" outlineLevel="0" collapsed="false">
      <c r="A35" s="37" t="s">
        <v>187</v>
      </c>
      <c r="B35" s="56" t="s">
        <v>188</v>
      </c>
      <c r="C35" s="7" t="s">
        <v>104</v>
      </c>
      <c r="D35" s="37" t="s">
        <v>112</v>
      </c>
      <c r="E35" s="37" t="s">
        <v>189</v>
      </c>
    </row>
    <row r="36" customFormat="false" ht="42" hidden="false" customHeight="true" outlineLevel="0" collapsed="false">
      <c r="A36" s="37" t="s">
        <v>190</v>
      </c>
      <c r="B36" s="56" t="s">
        <v>188</v>
      </c>
      <c r="C36" s="7" t="s">
        <v>104</v>
      </c>
      <c r="D36" s="37" t="s">
        <v>112</v>
      </c>
      <c r="E36" s="37" t="s">
        <v>191</v>
      </c>
    </row>
    <row r="37" customFormat="false" ht="42" hidden="false" customHeight="true" outlineLevel="0" collapsed="false">
      <c r="A37" s="37" t="s">
        <v>192</v>
      </c>
      <c r="B37" s="56" t="s">
        <v>188</v>
      </c>
      <c r="C37" s="5" t="s">
        <v>108</v>
      </c>
      <c r="D37" s="37" t="s">
        <v>112</v>
      </c>
      <c r="E37" s="37" t="s">
        <v>193</v>
      </c>
    </row>
    <row r="38" customFormat="false" ht="42" hidden="false" customHeight="true" outlineLevel="0" collapsed="false">
      <c r="A38" s="37" t="s">
        <v>194</v>
      </c>
      <c r="B38" s="56" t="s">
        <v>188</v>
      </c>
      <c r="C38" s="5" t="s">
        <v>108</v>
      </c>
      <c r="D38" s="37" t="s">
        <v>112</v>
      </c>
      <c r="E38" s="37" t="s">
        <v>195</v>
      </c>
    </row>
    <row r="39" customFormat="false" ht="42" hidden="false" customHeight="true" outlineLevel="0" collapsed="false">
      <c r="A39" s="37" t="s">
        <v>196</v>
      </c>
      <c r="B39" s="56" t="s">
        <v>188</v>
      </c>
      <c r="C39" s="7" t="s">
        <v>104</v>
      </c>
      <c r="D39" s="37" t="s">
        <v>112</v>
      </c>
      <c r="E39" s="37" t="s">
        <v>197</v>
      </c>
    </row>
    <row r="40" customFormat="false" ht="42" hidden="false" customHeight="true" outlineLevel="0" collapsed="false">
      <c r="A40" s="37" t="s">
        <v>198</v>
      </c>
      <c r="B40" s="56" t="s">
        <v>188</v>
      </c>
      <c r="C40" s="5" t="s">
        <v>108</v>
      </c>
      <c r="D40" s="37" t="s">
        <v>112</v>
      </c>
      <c r="E40" s="37" t="s">
        <v>199</v>
      </c>
    </row>
    <row r="41" customFormat="false" ht="42" hidden="false" customHeight="true" outlineLevel="0" collapsed="false">
      <c r="A41" s="37" t="s">
        <v>200</v>
      </c>
      <c r="B41" s="56" t="s">
        <v>188</v>
      </c>
      <c r="C41" s="7" t="s">
        <v>104</v>
      </c>
      <c r="D41" s="37" t="s">
        <v>112</v>
      </c>
      <c r="E41" s="37" t="s">
        <v>201</v>
      </c>
    </row>
    <row r="42" customFormat="false" ht="42" hidden="false" customHeight="true" outlineLevel="0" collapsed="false">
      <c r="A42" s="37" t="s">
        <v>202</v>
      </c>
      <c r="B42" s="56" t="s">
        <v>188</v>
      </c>
      <c r="C42" s="5" t="s">
        <v>108</v>
      </c>
      <c r="D42" s="37" t="s">
        <v>203</v>
      </c>
      <c r="E42" s="37" t="s">
        <v>204</v>
      </c>
    </row>
    <row r="43" customFormat="false" ht="42" hidden="false" customHeight="true" outlineLevel="0" collapsed="false">
      <c r="A43" s="37" t="s">
        <v>205</v>
      </c>
      <c r="B43" s="56" t="s">
        <v>188</v>
      </c>
      <c r="C43" s="5" t="s">
        <v>108</v>
      </c>
      <c r="D43" s="37" t="s">
        <v>112</v>
      </c>
      <c r="E43" s="37" t="s">
        <v>206</v>
      </c>
    </row>
    <row r="44" customFormat="false" ht="42" hidden="false" customHeight="true" outlineLevel="0" collapsed="false">
      <c r="A44" s="37" t="s">
        <v>207</v>
      </c>
      <c r="B44" s="56" t="s">
        <v>188</v>
      </c>
      <c r="C44" s="5" t="s">
        <v>108</v>
      </c>
      <c r="D44" s="37" t="s">
        <v>132</v>
      </c>
      <c r="E44" s="37" t="s">
        <v>208</v>
      </c>
    </row>
    <row r="45" customFormat="false" ht="42" hidden="false" customHeight="true" outlineLevel="0" collapsed="false">
      <c r="A45" s="37" t="s">
        <v>209</v>
      </c>
      <c r="B45" s="57" t="s">
        <v>210</v>
      </c>
      <c r="C45" s="7" t="s">
        <v>104</v>
      </c>
      <c r="D45" s="37" t="s">
        <v>211</v>
      </c>
      <c r="E45" s="37" t="s">
        <v>212</v>
      </c>
    </row>
    <row r="46" customFormat="false" ht="42" hidden="false" customHeight="true" outlineLevel="0" collapsed="false">
      <c r="A46" s="37" t="s">
        <v>213</v>
      </c>
      <c r="B46" s="57" t="s">
        <v>210</v>
      </c>
      <c r="C46" s="6" t="s">
        <v>214</v>
      </c>
      <c r="D46" s="37" t="s">
        <v>215</v>
      </c>
      <c r="E46" s="37" t="s">
        <v>216</v>
      </c>
    </row>
    <row r="47" customFormat="false" ht="42" hidden="false" customHeight="true" outlineLevel="0" collapsed="false">
      <c r="A47" s="37" t="s">
        <v>217</v>
      </c>
      <c r="B47" s="57" t="s">
        <v>210</v>
      </c>
      <c r="C47" s="7" t="s">
        <v>104</v>
      </c>
      <c r="D47" s="37" t="s">
        <v>112</v>
      </c>
      <c r="E47" s="37" t="s">
        <v>218</v>
      </c>
    </row>
    <row r="48" customFormat="false" ht="42" hidden="false" customHeight="true" outlineLevel="0" collapsed="false">
      <c r="A48" s="37" t="s">
        <v>219</v>
      </c>
      <c r="B48" s="57" t="s">
        <v>210</v>
      </c>
      <c r="C48" s="7" t="s">
        <v>104</v>
      </c>
      <c r="D48" s="37" t="s">
        <v>112</v>
      </c>
      <c r="E48" s="37" t="s">
        <v>220</v>
      </c>
    </row>
    <row r="49" customFormat="false" ht="42" hidden="false" customHeight="true" outlineLevel="0" collapsed="false">
      <c r="A49" s="37" t="s">
        <v>221</v>
      </c>
      <c r="B49" s="58" t="s">
        <v>222</v>
      </c>
      <c r="C49" s="5" t="s">
        <v>108</v>
      </c>
      <c r="D49" s="37" t="s">
        <v>223</v>
      </c>
      <c r="E49" s="37" t="s">
        <v>224</v>
      </c>
    </row>
    <row r="50" customFormat="false" ht="42" hidden="false" customHeight="true" outlineLevel="0" collapsed="false">
      <c r="A50" s="37" t="s">
        <v>225</v>
      </c>
      <c r="B50" s="58" t="s">
        <v>222</v>
      </c>
      <c r="C50" s="5" t="s">
        <v>108</v>
      </c>
      <c r="D50" s="37" t="s">
        <v>223</v>
      </c>
      <c r="E50" s="37" t="s">
        <v>226</v>
      </c>
    </row>
    <row r="51" customFormat="false" ht="42" hidden="false" customHeight="true" outlineLevel="0" collapsed="false">
      <c r="A51" s="37" t="s">
        <v>227</v>
      </c>
      <c r="B51" s="58" t="s">
        <v>222</v>
      </c>
      <c r="C51" s="7" t="s">
        <v>104</v>
      </c>
      <c r="D51" s="37" t="s">
        <v>112</v>
      </c>
      <c r="E51" s="37" t="s">
        <v>228</v>
      </c>
    </row>
    <row r="52" customFormat="false" ht="42" hidden="false" customHeight="true" outlineLevel="0" collapsed="false">
      <c r="A52" s="37" t="s">
        <v>229</v>
      </c>
      <c r="B52" s="58" t="s">
        <v>222</v>
      </c>
      <c r="C52" s="5" t="s">
        <v>108</v>
      </c>
      <c r="D52" s="37" t="s">
        <v>230</v>
      </c>
      <c r="E52" s="37" t="s">
        <v>231</v>
      </c>
    </row>
    <row r="53" customFormat="false" ht="42" hidden="false" customHeight="true" outlineLevel="0" collapsed="false">
      <c r="A53" s="37" t="s">
        <v>232</v>
      </c>
      <c r="B53" s="58" t="s">
        <v>222</v>
      </c>
      <c r="C53" s="5" t="s">
        <v>108</v>
      </c>
      <c r="D53" s="37" t="s">
        <v>233</v>
      </c>
      <c r="E53" s="37" t="s">
        <v>234</v>
      </c>
    </row>
    <row r="54" customFormat="false" ht="42" hidden="false" customHeight="true" outlineLevel="0" collapsed="false">
      <c r="A54" s="37" t="s">
        <v>235</v>
      </c>
      <c r="B54" s="58" t="s">
        <v>222</v>
      </c>
      <c r="C54" s="7" t="s">
        <v>104</v>
      </c>
      <c r="D54" s="37" t="s">
        <v>149</v>
      </c>
      <c r="E54" s="37" t="s">
        <v>236</v>
      </c>
    </row>
    <row r="55" customFormat="false" ht="42" hidden="false" customHeight="true" outlineLevel="0" collapsed="false">
      <c r="A55" s="37" t="s">
        <v>237</v>
      </c>
      <c r="B55" s="58" t="s">
        <v>222</v>
      </c>
      <c r="C55" s="5" t="s">
        <v>108</v>
      </c>
      <c r="D55" s="37" t="s">
        <v>132</v>
      </c>
      <c r="E55" s="37" t="s">
        <v>238</v>
      </c>
    </row>
    <row r="56" customFormat="false" ht="42" hidden="false" customHeight="true" outlineLevel="0" collapsed="false">
      <c r="A56" s="37" t="s">
        <v>239</v>
      </c>
      <c r="B56" s="59" t="s">
        <v>240</v>
      </c>
      <c r="C56" s="5" t="s">
        <v>108</v>
      </c>
      <c r="D56" s="37" t="s">
        <v>241</v>
      </c>
      <c r="E56" s="37" t="s">
        <v>242</v>
      </c>
    </row>
    <row r="57" customFormat="false" ht="42" hidden="false" customHeight="true" outlineLevel="0" collapsed="false">
      <c r="A57" s="37" t="s">
        <v>243</v>
      </c>
      <c r="B57" s="59" t="s">
        <v>240</v>
      </c>
      <c r="C57" s="7" t="s">
        <v>104</v>
      </c>
      <c r="D57" s="37" t="s">
        <v>244</v>
      </c>
      <c r="E57" s="37" t="s">
        <v>245</v>
      </c>
    </row>
    <row r="58" customFormat="false" ht="42" hidden="false" customHeight="true" outlineLevel="0" collapsed="false">
      <c r="A58" s="37" t="s">
        <v>246</v>
      </c>
      <c r="B58" s="59" t="s">
        <v>240</v>
      </c>
      <c r="C58" s="5" t="s">
        <v>108</v>
      </c>
      <c r="D58" s="37" t="s">
        <v>247</v>
      </c>
      <c r="E58" s="37" t="s">
        <v>248</v>
      </c>
    </row>
    <row r="59" customFormat="false" ht="42" hidden="false" customHeight="true" outlineLevel="0" collapsed="false">
      <c r="A59" s="37" t="s">
        <v>249</v>
      </c>
      <c r="B59" s="59" t="s">
        <v>240</v>
      </c>
      <c r="C59" s="6" t="s">
        <v>214</v>
      </c>
      <c r="D59" s="37" t="s">
        <v>250</v>
      </c>
      <c r="E59" s="37" t="s">
        <v>251</v>
      </c>
    </row>
    <row r="60" customFormat="false" ht="42" hidden="false" customHeight="true" outlineLevel="0" collapsed="false">
      <c r="A60" s="37" t="s">
        <v>252</v>
      </c>
      <c r="B60" s="60" t="s">
        <v>253</v>
      </c>
      <c r="C60" s="7" t="s">
        <v>104</v>
      </c>
      <c r="D60" s="37" t="s">
        <v>112</v>
      </c>
      <c r="E60" s="37" t="s">
        <v>254</v>
      </c>
    </row>
    <row r="61" customFormat="false" ht="42" hidden="false" customHeight="true" outlineLevel="0" collapsed="false">
      <c r="A61" s="37" t="s">
        <v>93</v>
      </c>
      <c r="B61" s="60" t="s">
        <v>253</v>
      </c>
      <c r="C61" s="6" t="s">
        <v>214</v>
      </c>
      <c r="D61" s="37" t="s">
        <v>215</v>
      </c>
      <c r="E61" s="37" t="s">
        <v>255</v>
      </c>
    </row>
    <row r="62" customFormat="false" ht="42" hidden="false" customHeight="true" outlineLevel="0" collapsed="false">
      <c r="A62" s="37" t="s">
        <v>256</v>
      </c>
      <c r="B62" s="60" t="s">
        <v>253</v>
      </c>
      <c r="C62" s="6" t="s">
        <v>214</v>
      </c>
      <c r="D62" s="37" t="s">
        <v>215</v>
      </c>
      <c r="E62" s="37" t="s">
        <v>257</v>
      </c>
    </row>
    <row r="63" customFormat="false" ht="42" hidden="false" customHeight="true" outlineLevel="0" collapsed="false">
      <c r="A63" s="37" t="s">
        <v>258</v>
      </c>
      <c r="B63" s="60" t="s">
        <v>253</v>
      </c>
      <c r="C63" s="6" t="s">
        <v>214</v>
      </c>
      <c r="D63" s="37" t="s">
        <v>215</v>
      </c>
      <c r="E63" s="37" t="s">
        <v>257</v>
      </c>
    </row>
    <row r="64" customFormat="false" ht="42" hidden="false" customHeight="true" outlineLevel="0" collapsed="false">
      <c r="A64" s="37" t="s">
        <v>259</v>
      </c>
      <c r="B64" s="60" t="s">
        <v>253</v>
      </c>
      <c r="C64" s="7" t="s">
        <v>104</v>
      </c>
      <c r="D64" s="37" t="s">
        <v>112</v>
      </c>
      <c r="E64" s="37" t="s">
        <v>260</v>
      </c>
    </row>
    <row r="65" customFormat="false" ht="42" hidden="false" customHeight="true" outlineLevel="0" collapsed="false">
      <c r="A65" s="37" t="s">
        <v>261</v>
      </c>
      <c r="B65" s="60" t="s">
        <v>253</v>
      </c>
      <c r="C65" s="6" t="s">
        <v>214</v>
      </c>
      <c r="D65" s="37" t="s">
        <v>215</v>
      </c>
      <c r="E65" s="37" t="s">
        <v>262</v>
      </c>
    </row>
    <row r="66" customFormat="false" ht="42" hidden="false" customHeight="true" outlineLevel="0" collapsed="false">
      <c r="A66" s="37" t="s">
        <v>263</v>
      </c>
      <c r="B66" s="60" t="s">
        <v>253</v>
      </c>
      <c r="C66" s="7" t="s">
        <v>104</v>
      </c>
      <c r="D66" s="37" t="s">
        <v>264</v>
      </c>
      <c r="E66" s="37" t="s">
        <v>265</v>
      </c>
    </row>
    <row r="67" customFormat="false" ht="42" hidden="false" customHeight="true" outlineLevel="0" collapsed="false">
      <c r="A67" s="37" t="s">
        <v>266</v>
      </c>
      <c r="B67" s="60" t="s">
        <v>253</v>
      </c>
      <c r="C67" s="5" t="s">
        <v>108</v>
      </c>
      <c r="D67" s="37" t="s">
        <v>264</v>
      </c>
      <c r="E67" s="37" t="s">
        <v>267</v>
      </c>
    </row>
    <row r="68" customFormat="false" ht="42" hidden="false" customHeight="true" outlineLevel="0" collapsed="false">
      <c r="A68" s="37" t="s">
        <v>268</v>
      </c>
      <c r="B68" s="60" t="s">
        <v>253</v>
      </c>
      <c r="C68" s="5" t="s">
        <v>108</v>
      </c>
      <c r="D68" s="37" t="s">
        <v>269</v>
      </c>
      <c r="E68" s="37" t="s">
        <v>270</v>
      </c>
    </row>
    <row r="69" customFormat="false" ht="42" hidden="false" customHeight="true" outlineLevel="0" collapsed="false">
      <c r="A69" s="37" t="s">
        <v>271</v>
      </c>
      <c r="B69" s="60" t="s">
        <v>253</v>
      </c>
      <c r="C69" s="6" t="s">
        <v>214</v>
      </c>
      <c r="D69" s="37" t="s">
        <v>272</v>
      </c>
      <c r="E69" s="37" t="s">
        <v>273</v>
      </c>
    </row>
    <row r="70" customFormat="false" ht="42" hidden="false" customHeight="true" outlineLevel="0" collapsed="false">
      <c r="A70" s="37" t="s">
        <v>274</v>
      </c>
      <c r="B70" s="60" t="s">
        <v>253</v>
      </c>
      <c r="C70" s="7" t="s">
        <v>104</v>
      </c>
      <c r="D70" s="37" t="s">
        <v>275</v>
      </c>
      <c r="E70" s="37" t="s">
        <v>276</v>
      </c>
    </row>
    <row r="71" customFormat="false" ht="42" hidden="false" customHeight="true" outlineLevel="0" collapsed="false">
      <c r="A71" s="37" t="s">
        <v>277</v>
      </c>
      <c r="B71" s="60" t="s">
        <v>253</v>
      </c>
      <c r="C71" s="6" t="s">
        <v>214</v>
      </c>
      <c r="D71" s="37" t="s">
        <v>215</v>
      </c>
      <c r="E71" s="37" t="s">
        <v>278</v>
      </c>
    </row>
    <row r="72" customFormat="false" ht="42" hidden="false" customHeight="true" outlineLevel="0" collapsed="false">
      <c r="A72" s="37" t="s">
        <v>279</v>
      </c>
      <c r="B72" s="60" t="s">
        <v>253</v>
      </c>
      <c r="C72" s="6" t="s">
        <v>214</v>
      </c>
      <c r="D72" s="37" t="s">
        <v>215</v>
      </c>
      <c r="E72" s="37" t="s">
        <v>280</v>
      </c>
    </row>
    <row r="73" customFormat="false" ht="42" hidden="false" customHeight="true" outlineLevel="0" collapsed="false">
      <c r="A73" s="37" t="s">
        <v>281</v>
      </c>
      <c r="B73" s="60" t="s">
        <v>253</v>
      </c>
      <c r="C73" s="7" t="s">
        <v>104</v>
      </c>
      <c r="D73" s="37" t="s">
        <v>112</v>
      </c>
      <c r="E73" s="37" t="s">
        <v>282</v>
      </c>
    </row>
    <row r="74" customFormat="false" ht="42" hidden="false" customHeight="true" outlineLevel="0" collapsed="false">
      <c r="A74" s="37" t="s">
        <v>283</v>
      </c>
      <c r="B74" s="60" t="s">
        <v>253</v>
      </c>
      <c r="C74" s="6" t="s">
        <v>214</v>
      </c>
      <c r="D74" s="37" t="s">
        <v>215</v>
      </c>
      <c r="E74" s="37" t="s">
        <v>284</v>
      </c>
    </row>
    <row r="75" customFormat="false" ht="42" hidden="false" customHeight="true" outlineLevel="0" collapsed="false">
      <c r="A75" s="37" t="s">
        <v>285</v>
      </c>
      <c r="B75" s="60" t="s">
        <v>253</v>
      </c>
      <c r="C75" s="7" t="s">
        <v>104</v>
      </c>
      <c r="D75" s="37" t="s">
        <v>286</v>
      </c>
      <c r="E75" s="37" t="s">
        <v>287</v>
      </c>
    </row>
    <row r="76" customFormat="false" ht="42" hidden="false" customHeight="true" outlineLevel="0" collapsed="false">
      <c r="A76" s="37" t="s">
        <v>288</v>
      </c>
      <c r="B76" s="60" t="s">
        <v>253</v>
      </c>
      <c r="C76" s="7" t="s">
        <v>104</v>
      </c>
      <c r="D76" s="37" t="s">
        <v>289</v>
      </c>
      <c r="E76" s="37" t="s">
        <v>290</v>
      </c>
    </row>
    <row r="77" customFormat="false" ht="42" hidden="false" customHeight="true" outlineLevel="0" collapsed="false">
      <c r="A77" s="37" t="s">
        <v>291</v>
      </c>
      <c r="B77" s="60" t="s">
        <v>253</v>
      </c>
      <c r="C77" s="6" t="s">
        <v>214</v>
      </c>
      <c r="D77" s="37" t="s">
        <v>215</v>
      </c>
      <c r="E77" s="37" t="s">
        <v>292</v>
      </c>
    </row>
    <row r="79" customFormat="false" ht="30" hidden="false" customHeight="true" outlineLevel="0" collapsed="false">
      <c r="A79" s="2" t="s">
        <v>293</v>
      </c>
      <c r="B79" s="2"/>
      <c r="C79" s="2"/>
      <c r="D79" s="2"/>
      <c r="E79" s="2"/>
    </row>
    <row r="80" customFormat="false" ht="15" hidden="false" customHeight="false" outlineLevel="0" collapsed="false">
      <c r="B80" s="61" t="s">
        <v>103</v>
      </c>
    </row>
    <row r="81" customFormat="false" ht="15" hidden="false" customHeight="false" outlineLevel="0" collapsed="false">
      <c r="B81" s="62" t="s">
        <v>123</v>
      </c>
    </row>
    <row r="82" customFormat="false" ht="15" hidden="false" customHeight="false" outlineLevel="0" collapsed="false">
      <c r="B82" s="63" t="s">
        <v>171</v>
      </c>
    </row>
    <row r="83" customFormat="false" ht="15" hidden="false" customHeight="false" outlineLevel="0" collapsed="false">
      <c r="B83" s="64" t="s">
        <v>188</v>
      </c>
    </row>
    <row r="84" customFormat="false" ht="15" hidden="false" customHeight="false" outlineLevel="0" collapsed="false">
      <c r="B84" s="65" t="s">
        <v>210</v>
      </c>
    </row>
    <row r="85" customFormat="false" ht="15" hidden="false" customHeight="false" outlineLevel="0" collapsed="false">
      <c r="B85" s="66" t="s">
        <v>222</v>
      </c>
    </row>
    <row r="86" customFormat="false" ht="15" hidden="false" customHeight="false" outlineLevel="0" collapsed="false">
      <c r="B86" s="67" t="s">
        <v>240</v>
      </c>
    </row>
    <row r="87" customFormat="false" ht="15" hidden="false" customHeight="false" outlineLevel="0" collapsed="false">
      <c r="B87" s="68" t="s">
        <v>253</v>
      </c>
    </row>
  </sheetData>
  <autoFilter ref="A1:E77"/>
  <mergeCells count="1">
    <mergeCell ref="A79:E7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G1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4"/>
    <col collapsed="false" customWidth="true" hidden="false" outlineLevel="0" max="3" min="3" style="0" width="16"/>
    <col collapsed="false" customWidth="true" hidden="false" outlineLevel="0" max="4" min="4" style="0" width="34"/>
    <col collapsed="false" customWidth="true" hidden="false" outlineLevel="0" max="7" min="5" style="0" width="30"/>
  </cols>
  <sheetData>
    <row r="1" customFormat="false" ht="30" hidden="false" customHeight="true" outlineLevel="0" collapsed="false">
      <c r="A1" s="35" t="s">
        <v>294</v>
      </c>
      <c r="B1" s="35" t="s">
        <v>295</v>
      </c>
      <c r="C1" s="35" t="s">
        <v>296</v>
      </c>
      <c r="D1" s="35" t="s">
        <v>297</v>
      </c>
      <c r="E1" s="35" t="s">
        <v>298</v>
      </c>
      <c r="F1" s="35" t="s">
        <v>299</v>
      </c>
      <c r="G1" s="35" t="s">
        <v>300</v>
      </c>
    </row>
    <row r="2" customFormat="false" ht="15" hidden="false" customHeight="false" outlineLevel="0" collapsed="false">
      <c r="A2" s="69" t="s">
        <v>301</v>
      </c>
      <c r="B2" s="37" t="s">
        <v>302</v>
      </c>
      <c r="C2" s="70" t="s">
        <v>303</v>
      </c>
      <c r="D2" s="71" t="str">
        <f aca="false">IF(ISNUMBER(SEARCH($A2,Classify!$C$8)),$A2&amp;"; ","")</f>
        <v/>
      </c>
      <c r="E2" s="37" t="str">
        <f aca="false">IF($D2&lt;&gt;"",$B2&amp;"; ","")</f>
        <v/>
      </c>
      <c r="F2" s="38" t="str">
        <f aca="false">$D2</f>
        <v/>
      </c>
      <c r="G2" s="38" t="str">
        <f aca="false">$E2</f>
        <v/>
      </c>
    </row>
    <row r="3" customFormat="false" ht="15" hidden="false" customHeight="false" outlineLevel="0" collapsed="false">
      <c r="A3" s="69" t="s">
        <v>304</v>
      </c>
      <c r="B3" s="37" t="s">
        <v>302</v>
      </c>
      <c r="C3" s="70" t="s">
        <v>303</v>
      </c>
      <c r="D3" s="71" t="str">
        <f aca="false">IF(ISNUMBER(SEARCH($A3,Classify!$C$8)),$A3&amp;"; ","")</f>
        <v/>
      </c>
      <c r="E3" s="37" t="str">
        <f aca="false">IF($D3&lt;&gt;"",$B3&amp;"; ","")</f>
        <v/>
      </c>
      <c r="F3" s="38" t="str">
        <f aca="false">$F2&amp;$D3</f>
        <v/>
      </c>
      <c r="G3" s="38" t="str">
        <f aca="false">$G2&amp;$E3</f>
        <v/>
      </c>
    </row>
    <row r="4" customFormat="false" ht="15" hidden="false" customHeight="false" outlineLevel="0" collapsed="false">
      <c r="A4" s="69" t="s">
        <v>305</v>
      </c>
      <c r="B4" s="37" t="s">
        <v>302</v>
      </c>
      <c r="C4" s="70" t="s">
        <v>303</v>
      </c>
      <c r="D4" s="71" t="str">
        <f aca="false">IF(ISNUMBER(SEARCH($A4,Classify!$C$8)),$A4&amp;"; ","")</f>
        <v/>
      </c>
      <c r="E4" s="37" t="str">
        <f aca="false">IF($D4&lt;&gt;"",$B4&amp;"; ","")</f>
        <v/>
      </c>
      <c r="F4" s="38" t="str">
        <f aca="false">$F3&amp;$D4</f>
        <v/>
      </c>
      <c r="G4" s="38" t="str">
        <f aca="false">$G3&amp;$E4</f>
        <v/>
      </c>
    </row>
    <row r="5" customFormat="false" ht="15" hidden="false" customHeight="false" outlineLevel="0" collapsed="false">
      <c r="A5" s="69" t="s">
        <v>306</v>
      </c>
      <c r="B5" s="37" t="s">
        <v>302</v>
      </c>
      <c r="C5" s="70" t="s">
        <v>303</v>
      </c>
      <c r="D5" s="71" t="str">
        <f aca="false">IF(ISNUMBER(SEARCH($A5,Classify!$C$8)),$A5&amp;"; ","")</f>
        <v/>
      </c>
      <c r="E5" s="37" t="str">
        <f aca="false">IF($D5&lt;&gt;"",$B5&amp;"; ","")</f>
        <v/>
      </c>
      <c r="F5" s="38" t="str">
        <f aca="false">$F4&amp;$D5</f>
        <v/>
      </c>
      <c r="G5" s="38" t="str">
        <f aca="false">$G4&amp;$E5</f>
        <v/>
      </c>
    </row>
    <row r="6" customFormat="false" ht="15" hidden="false" customHeight="false" outlineLevel="0" collapsed="false">
      <c r="A6" s="69" t="s">
        <v>307</v>
      </c>
      <c r="B6" s="37" t="s">
        <v>302</v>
      </c>
      <c r="C6" s="70" t="s">
        <v>303</v>
      </c>
      <c r="D6" s="71" t="str">
        <f aca="false">IF(ISNUMBER(SEARCH($A6,Classify!$C$8)),$A6&amp;"; ","")</f>
        <v/>
      </c>
      <c r="E6" s="37" t="str">
        <f aca="false">IF($D6&lt;&gt;"",$B6&amp;"; ","")</f>
        <v/>
      </c>
      <c r="F6" s="38" t="str">
        <f aca="false">$F5&amp;$D6</f>
        <v/>
      </c>
      <c r="G6" s="38" t="str">
        <f aca="false">$G5&amp;$E6</f>
        <v/>
      </c>
    </row>
    <row r="7" customFormat="false" ht="15" hidden="false" customHeight="false" outlineLevel="0" collapsed="false">
      <c r="A7" s="69" t="s">
        <v>308</v>
      </c>
      <c r="B7" s="37" t="s">
        <v>302</v>
      </c>
      <c r="C7" s="70" t="s">
        <v>303</v>
      </c>
      <c r="D7" s="71" t="str">
        <f aca="false">IF(ISNUMBER(SEARCH($A7,Classify!$C$8)),$A7&amp;"; ","")</f>
        <v/>
      </c>
      <c r="E7" s="37" t="str">
        <f aca="false">IF($D7&lt;&gt;"",$B7&amp;"; ","")</f>
        <v/>
      </c>
      <c r="F7" s="38" t="str">
        <f aca="false">$F6&amp;$D7</f>
        <v/>
      </c>
      <c r="G7" s="38" t="str">
        <f aca="false">$G6&amp;$E7</f>
        <v/>
      </c>
    </row>
    <row r="8" customFormat="false" ht="15" hidden="false" customHeight="false" outlineLevel="0" collapsed="false">
      <c r="A8" s="69" t="s">
        <v>309</v>
      </c>
      <c r="B8" s="37" t="s">
        <v>302</v>
      </c>
      <c r="C8" s="70" t="s">
        <v>303</v>
      </c>
      <c r="D8" s="71" t="str">
        <f aca="false">IF(ISNUMBER(SEARCH($A8,Classify!$C$8)),$A8&amp;"; ","")</f>
        <v/>
      </c>
      <c r="E8" s="37" t="str">
        <f aca="false">IF($D8&lt;&gt;"",$B8&amp;"; ","")</f>
        <v/>
      </c>
      <c r="F8" s="38" t="str">
        <f aca="false">$F7&amp;$D8</f>
        <v/>
      </c>
      <c r="G8" s="38" t="str">
        <f aca="false">$G7&amp;$E8</f>
        <v/>
      </c>
    </row>
    <row r="9" customFormat="false" ht="15" hidden="false" customHeight="false" outlineLevel="0" collapsed="false">
      <c r="A9" s="69" t="s">
        <v>310</v>
      </c>
      <c r="B9" s="37" t="s">
        <v>302</v>
      </c>
      <c r="C9" s="70" t="s">
        <v>303</v>
      </c>
      <c r="D9" s="71" t="str">
        <f aca="false">IF(ISNUMBER(SEARCH($A9,Classify!$C$8)),$A9&amp;"; ","")</f>
        <v/>
      </c>
      <c r="E9" s="37" t="str">
        <f aca="false">IF($D9&lt;&gt;"",$B9&amp;"; ","")</f>
        <v/>
      </c>
      <c r="F9" s="38" t="str">
        <f aca="false">$F8&amp;$D9</f>
        <v/>
      </c>
      <c r="G9" s="38" t="str">
        <f aca="false">$G8&amp;$E9</f>
        <v/>
      </c>
    </row>
    <row r="10" customFormat="false" ht="15" hidden="false" customHeight="false" outlineLevel="0" collapsed="false">
      <c r="A10" s="69" t="s">
        <v>311</v>
      </c>
      <c r="B10" s="37" t="s">
        <v>302</v>
      </c>
      <c r="C10" s="70" t="s">
        <v>303</v>
      </c>
      <c r="D10" s="71" t="str">
        <f aca="false">IF(ISNUMBER(SEARCH($A10,Classify!$C$8)),$A10&amp;"; ","")</f>
        <v/>
      </c>
      <c r="E10" s="37" t="str">
        <f aca="false">IF($D10&lt;&gt;"",$B10&amp;"; ","")</f>
        <v/>
      </c>
      <c r="F10" s="38" t="str">
        <f aca="false">$F9&amp;$D10</f>
        <v/>
      </c>
      <c r="G10" s="38" t="str">
        <f aca="false">$G9&amp;$E10</f>
        <v/>
      </c>
    </row>
    <row r="11" customFormat="false" ht="15" hidden="false" customHeight="false" outlineLevel="0" collapsed="false">
      <c r="A11" s="69" t="s">
        <v>312</v>
      </c>
      <c r="B11" s="37" t="s">
        <v>302</v>
      </c>
      <c r="C11" s="70" t="s">
        <v>303</v>
      </c>
      <c r="D11" s="71" t="str">
        <f aca="false">IF(ISNUMBER(SEARCH($A11,Classify!$C$8)),$A11&amp;"; ","")</f>
        <v/>
      </c>
      <c r="E11" s="37" t="str">
        <f aca="false">IF($D11&lt;&gt;"",$B11&amp;"; ","")</f>
        <v/>
      </c>
      <c r="F11" s="38" t="str">
        <f aca="false">$F10&amp;$D11</f>
        <v/>
      </c>
      <c r="G11" s="38" t="str">
        <f aca="false">$G10&amp;$E11</f>
        <v/>
      </c>
    </row>
    <row r="12" customFormat="false" ht="15" hidden="false" customHeight="false" outlineLevel="0" collapsed="false">
      <c r="A12" s="69" t="s">
        <v>313</v>
      </c>
      <c r="B12" s="37" t="s">
        <v>302</v>
      </c>
      <c r="C12" s="70" t="s">
        <v>303</v>
      </c>
      <c r="D12" s="71" t="str">
        <f aca="false">IF(ISNUMBER(SEARCH($A12,Classify!$C$8)),$A12&amp;"; ","")</f>
        <v/>
      </c>
      <c r="E12" s="37" t="str">
        <f aca="false">IF($D12&lt;&gt;"",$B12&amp;"; ","")</f>
        <v/>
      </c>
      <c r="F12" s="38" t="str">
        <f aca="false">$F11&amp;$D12</f>
        <v/>
      </c>
      <c r="G12" s="38" t="str">
        <f aca="false">$G11&amp;$E12</f>
        <v/>
      </c>
    </row>
    <row r="13" customFormat="false" ht="15" hidden="false" customHeight="false" outlineLevel="0" collapsed="false">
      <c r="A13" s="69" t="s">
        <v>314</v>
      </c>
      <c r="B13" s="37" t="s">
        <v>302</v>
      </c>
      <c r="C13" s="70" t="s">
        <v>303</v>
      </c>
      <c r="D13" s="71" t="str">
        <f aca="false">IF(ISNUMBER(SEARCH($A13,Classify!$C$8)),$A13&amp;"; ","")</f>
        <v/>
      </c>
      <c r="E13" s="37" t="str">
        <f aca="false">IF($D13&lt;&gt;"",$B13&amp;"; ","")</f>
        <v/>
      </c>
      <c r="F13" s="38" t="str">
        <f aca="false">$F12&amp;$D13</f>
        <v/>
      </c>
      <c r="G13" s="38" t="str">
        <f aca="false">$G12&amp;$E13</f>
        <v/>
      </c>
    </row>
    <row r="14" customFormat="false" ht="15" hidden="false" customHeight="false" outlineLevel="0" collapsed="false">
      <c r="A14" s="69" t="s">
        <v>315</v>
      </c>
      <c r="B14" s="37" t="s">
        <v>302</v>
      </c>
      <c r="C14" s="70" t="s">
        <v>303</v>
      </c>
      <c r="D14" s="71" t="str">
        <f aca="false">IF(ISNUMBER(SEARCH($A14,Classify!$C$8)),$A14&amp;"; ","")</f>
        <v/>
      </c>
      <c r="E14" s="37" t="str">
        <f aca="false">IF($D14&lt;&gt;"",$B14&amp;"; ","")</f>
        <v/>
      </c>
      <c r="F14" s="38" t="str">
        <f aca="false">$F13&amp;$D14</f>
        <v/>
      </c>
      <c r="G14" s="38" t="str">
        <f aca="false">$G13&amp;$E14</f>
        <v/>
      </c>
    </row>
    <row r="15" customFormat="false" ht="15" hidden="false" customHeight="false" outlineLevel="0" collapsed="false">
      <c r="A15" s="69" t="s">
        <v>316</v>
      </c>
      <c r="B15" s="37" t="s">
        <v>302</v>
      </c>
      <c r="C15" s="70" t="s">
        <v>303</v>
      </c>
      <c r="D15" s="71" t="str">
        <f aca="false">IF(ISNUMBER(SEARCH($A15,Classify!$C$8)),$A15&amp;"; ","")</f>
        <v/>
      </c>
      <c r="E15" s="37" t="str">
        <f aca="false">IF($D15&lt;&gt;"",$B15&amp;"; ","")</f>
        <v/>
      </c>
      <c r="F15" s="38" t="str">
        <f aca="false">$F14&amp;$D15</f>
        <v/>
      </c>
      <c r="G15" s="38" t="str">
        <f aca="false">$G14&amp;$E15</f>
        <v/>
      </c>
    </row>
    <row r="16" customFormat="false" ht="15" hidden="false" customHeight="false" outlineLevel="0" collapsed="false">
      <c r="A16" s="69" t="s">
        <v>317</v>
      </c>
      <c r="B16" s="37" t="s">
        <v>302</v>
      </c>
      <c r="C16" s="70" t="s">
        <v>303</v>
      </c>
      <c r="D16" s="71" t="str">
        <f aca="false">IF(ISNUMBER(SEARCH($A16,Classify!$C$8)),$A16&amp;"; ","")</f>
        <v/>
      </c>
      <c r="E16" s="37" t="str">
        <f aca="false">IF($D16&lt;&gt;"",$B16&amp;"; ","")</f>
        <v/>
      </c>
      <c r="F16" s="38" t="str">
        <f aca="false">$F15&amp;$D16</f>
        <v/>
      </c>
      <c r="G16" s="38" t="str">
        <f aca="false">$G15&amp;$E16</f>
        <v/>
      </c>
    </row>
    <row r="17" customFormat="false" ht="15" hidden="false" customHeight="false" outlineLevel="0" collapsed="false">
      <c r="A17" s="69" t="s">
        <v>318</v>
      </c>
      <c r="B17" s="37" t="s">
        <v>319</v>
      </c>
      <c r="C17" s="70" t="s">
        <v>303</v>
      </c>
      <c r="D17" s="71" t="str">
        <f aca="false">IF(ISNUMBER(SEARCH($A17,Classify!$C$8)),$A17&amp;"; ","")</f>
        <v/>
      </c>
      <c r="E17" s="37" t="str">
        <f aca="false">IF($D17&lt;&gt;"",$B17&amp;"; ","")</f>
        <v/>
      </c>
      <c r="F17" s="38" t="str">
        <f aca="false">$F16&amp;$D17</f>
        <v/>
      </c>
      <c r="G17" s="38" t="str">
        <f aca="false">$G16&amp;$E17</f>
        <v/>
      </c>
    </row>
    <row r="18" customFormat="false" ht="15" hidden="false" customHeight="false" outlineLevel="0" collapsed="false">
      <c r="A18" s="69" t="s">
        <v>320</v>
      </c>
      <c r="B18" s="37" t="s">
        <v>321</v>
      </c>
      <c r="C18" s="70" t="s">
        <v>303</v>
      </c>
      <c r="D18" s="71" t="str">
        <f aca="false">IF(ISNUMBER(SEARCH($A18,Classify!$C$8)),$A18&amp;"; ","")</f>
        <v/>
      </c>
      <c r="E18" s="37" t="str">
        <f aca="false">IF($D18&lt;&gt;"",$B18&amp;"; ","")</f>
        <v/>
      </c>
      <c r="F18" s="38" t="str">
        <f aca="false">$F17&amp;$D18</f>
        <v/>
      </c>
      <c r="G18" s="38" t="str">
        <f aca="false">$G17&amp;$E18</f>
        <v/>
      </c>
    </row>
    <row r="19" customFormat="false" ht="15" hidden="false" customHeight="false" outlineLevel="0" collapsed="false">
      <c r="A19" s="69" t="s">
        <v>322</v>
      </c>
      <c r="B19" s="37" t="s">
        <v>302</v>
      </c>
      <c r="C19" s="70" t="s">
        <v>303</v>
      </c>
      <c r="D19" s="71" t="str">
        <f aca="false">IF(ISNUMBER(SEARCH($A19,Classify!$C$8)),$A19&amp;"; ","")</f>
        <v/>
      </c>
      <c r="E19" s="37" t="str">
        <f aca="false">IF($D19&lt;&gt;"",$B19&amp;"; ","")</f>
        <v/>
      </c>
      <c r="F19" s="38" t="str">
        <f aca="false">$F18&amp;$D19</f>
        <v/>
      </c>
      <c r="G19" s="38" t="str">
        <f aca="false">$G18&amp;$E19</f>
        <v/>
      </c>
    </row>
    <row r="20" customFormat="false" ht="15" hidden="false" customHeight="false" outlineLevel="0" collapsed="false">
      <c r="A20" s="69" t="s">
        <v>323</v>
      </c>
      <c r="B20" s="37" t="s">
        <v>302</v>
      </c>
      <c r="C20" s="70" t="s">
        <v>303</v>
      </c>
      <c r="D20" s="71" t="str">
        <f aca="false">IF(ISNUMBER(SEARCH($A20,Classify!$C$8)),$A20&amp;"; ","")</f>
        <v/>
      </c>
      <c r="E20" s="37" t="str">
        <f aca="false">IF($D20&lt;&gt;"",$B20&amp;"; ","")</f>
        <v/>
      </c>
      <c r="F20" s="38" t="str">
        <f aca="false">$F19&amp;$D20</f>
        <v/>
      </c>
      <c r="G20" s="38" t="str">
        <f aca="false">$G19&amp;$E20</f>
        <v/>
      </c>
    </row>
    <row r="21" customFormat="false" ht="15" hidden="false" customHeight="false" outlineLevel="0" collapsed="false">
      <c r="A21" s="69" t="s">
        <v>324</v>
      </c>
      <c r="B21" s="37" t="s">
        <v>302</v>
      </c>
      <c r="C21" s="70" t="s">
        <v>303</v>
      </c>
      <c r="D21" s="71" t="str">
        <f aca="false">IF(ISNUMBER(SEARCH($A21,Classify!$C$8)),$A21&amp;"; ","")</f>
        <v/>
      </c>
      <c r="E21" s="37" t="str">
        <f aca="false">IF($D21&lt;&gt;"",$B21&amp;"; ","")</f>
        <v/>
      </c>
      <c r="F21" s="38" t="str">
        <f aca="false">$F20&amp;$D21</f>
        <v/>
      </c>
      <c r="G21" s="38" t="str">
        <f aca="false">$G20&amp;$E21</f>
        <v/>
      </c>
    </row>
    <row r="22" customFormat="false" ht="15" hidden="false" customHeight="false" outlineLevel="0" collapsed="false">
      <c r="A22" s="69" t="s">
        <v>325</v>
      </c>
      <c r="B22" s="37" t="s">
        <v>302</v>
      </c>
      <c r="C22" s="70" t="s">
        <v>303</v>
      </c>
      <c r="D22" s="71" t="str">
        <f aca="false">IF(ISNUMBER(SEARCH($A22,Classify!$C$8)),$A22&amp;"; ","")</f>
        <v/>
      </c>
      <c r="E22" s="37" t="str">
        <f aca="false">IF($D22&lt;&gt;"",$B22&amp;"; ","")</f>
        <v/>
      </c>
      <c r="F22" s="38" t="str">
        <f aca="false">$F21&amp;$D22</f>
        <v/>
      </c>
      <c r="G22" s="38" t="str">
        <f aca="false">$G21&amp;$E22</f>
        <v/>
      </c>
    </row>
    <row r="23" customFormat="false" ht="15" hidden="false" customHeight="false" outlineLevel="0" collapsed="false">
      <c r="A23" s="69" t="s">
        <v>326</v>
      </c>
      <c r="B23" s="37" t="s">
        <v>327</v>
      </c>
      <c r="C23" s="70" t="s">
        <v>303</v>
      </c>
      <c r="D23" s="71" t="str">
        <f aca="false">IF(ISNUMBER(SEARCH($A23,Classify!$C$8)),$A23&amp;"; ","")</f>
        <v/>
      </c>
      <c r="E23" s="37" t="str">
        <f aca="false">IF($D23&lt;&gt;"",$B23&amp;"; ","")</f>
        <v/>
      </c>
      <c r="F23" s="38" t="str">
        <f aca="false">$F22&amp;$D23</f>
        <v/>
      </c>
      <c r="G23" s="38" t="str">
        <f aca="false">$G22&amp;$E23</f>
        <v/>
      </c>
    </row>
    <row r="24" customFormat="false" ht="15" hidden="false" customHeight="false" outlineLevel="0" collapsed="false">
      <c r="A24" s="69" t="s">
        <v>328</v>
      </c>
      <c r="B24" s="37" t="s">
        <v>329</v>
      </c>
      <c r="C24" s="70" t="s">
        <v>303</v>
      </c>
      <c r="D24" s="71" t="str">
        <f aca="false">IF(ISNUMBER(SEARCH($A24,Classify!$C$8)),$A24&amp;"; ","")</f>
        <v/>
      </c>
      <c r="E24" s="37" t="str">
        <f aca="false">IF($D24&lt;&gt;"",$B24&amp;"; ","")</f>
        <v/>
      </c>
      <c r="F24" s="38" t="str">
        <f aca="false">$F23&amp;$D24</f>
        <v/>
      </c>
      <c r="G24" s="38" t="str">
        <f aca="false">$G23&amp;$E24</f>
        <v/>
      </c>
    </row>
    <row r="25" customFormat="false" ht="15" hidden="false" customHeight="false" outlineLevel="0" collapsed="false">
      <c r="A25" s="69" t="s">
        <v>330</v>
      </c>
      <c r="B25" s="37" t="s">
        <v>331</v>
      </c>
      <c r="C25" s="70" t="s">
        <v>303</v>
      </c>
      <c r="D25" s="71" t="str">
        <f aca="false">IF(ISNUMBER(SEARCH($A25,Classify!$C$8)),$A25&amp;"; ","")</f>
        <v/>
      </c>
      <c r="E25" s="37" t="str">
        <f aca="false">IF($D25&lt;&gt;"",$B25&amp;"; ","")</f>
        <v/>
      </c>
      <c r="F25" s="38" t="str">
        <f aca="false">$F24&amp;$D25</f>
        <v/>
      </c>
      <c r="G25" s="38" t="str">
        <f aca="false">$G24&amp;$E25</f>
        <v/>
      </c>
    </row>
    <row r="26" customFormat="false" ht="15" hidden="false" customHeight="false" outlineLevel="0" collapsed="false">
      <c r="A26" s="69" t="s">
        <v>332</v>
      </c>
      <c r="B26" s="37" t="s">
        <v>331</v>
      </c>
      <c r="C26" s="70" t="s">
        <v>303</v>
      </c>
      <c r="D26" s="71" t="str">
        <f aca="false">IF(ISNUMBER(SEARCH($A26,Classify!$C$8)),$A26&amp;"; ","")</f>
        <v/>
      </c>
      <c r="E26" s="37" t="str">
        <f aca="false">IF($D26&lt;&gt;"",$B26&amp;"; ","")</f>
        <v/>
      </c>
      <c r="F26" s="38" t="str">
        <f aca="false">$F25&amp;$D26</f>
        <v/>
      </c>
      <c r="G26" s="38" t="str">
        <f aca="false">$G25&amp;$E26</f>
        <v/>
      </c>
    </row>
    <row r="27" customFormat="false" ht="15" hidden="false" customHeight="false" outlineLevel="0" collapsed="false">
      <c r="A27" s="69" t="s">
        <v>333</v>
      </c>
      <c r="B27" s="37" t="s">
        <v>334</v>
      </c>
      <c r="C27" s="70" t="s">
        <v>303</v>
      </c>
      <c r="D27" s="71" t="str">
        <f aca="false">IF(ISNUMBER(SEARCH($A27,Classify!$C$8)),$A27&amp;"; ","")</f>
        <v/>
      </c>
      <c r="E27" s="37" t="str">
        <f aca="false">IF($D27&lt;&gt;"",$B27&amp;"; ","")</f>
        <v/>
      </c>
      <c r="F27" s="38" t="str">
        <f aca="false">$F26&amp;$D27</f>
        <v/>
      </c>
      <c r="G27" s="38" t="str">
        <f aca="false">$G26&amp;$E27</f>
        <v/>
      </c>
    </row>
    <row r="28" customFormat="false" ht="15" hidden="false" customHeight="false" outlineLevel="0" collapsed="false">
      <c r="A28" s="69" t="s">
        <v>335</v>
      </c>
      <c r="B28" s="37" t="s">
        <v>336</v>
      </c>
      <c r="C28" s="70" t="s">
        <v>303</v>
      </c>
      <c r="D28" s="71" t="str">
        <f aca="false">IF(ISNUMBER(SEARCH($A28,Classify!$C$8)),$A28&amp;"; ","")</f>
        <v/>
      </c>
      <c r="E28" s="37" t="str">
        <f aca="false">IF($D28&lt;&gt;"",$B28&amp;"; ","")</f>
        <v/>
      </c>
      <c r="F28" s="38" t="str">
        <f aca="false">$F27&amp;$D28</f>
        <v/>
      </c>
      <c r="G28" s="38" t="str">
        <f aca="false">$G27&amp;$E28</f>
        <v/>
      </c>
    </row>
    <row r="29" customFormat="false" ht="15" hidden="false" customHeight="false" outlineLevel="0" collapsed="false">
      <c r="A29" s="69" t="s">
        <v>337</v>
      </c>
      <c r="B29" s="37" t="s">
        <v>336</v>
      </c>
      <c r="C29" s="70" t="s">
        <v>303</v>
      </c>
      <c r="D29" s="71" t="str">
        <f aca="false">IF(ISNUMBER(SEARCH($A29,Classify!$C$8)),$A29&amp;"; ","")</f>
        <v/>
      </c>
      <c r="E29" s="37" t="str">
        <f aca="false">IF($D29&lt;&gt;"",$B29&amp;"; ","")</f>
        <v/>
      </c>
      <c r="F29" s="38" t="str">
        <f aca="false">$F28&amp;$D29</f>
        <v/>
      </c>
      <c r="G29" s="38" t="str">
        <f aca="false">$G28&amp;$E29</f>
        <v/>
      </c>
    </row>
    <row r="30" customFormat="false" ht="15" hidden="false" customHeight="false" outlineLevel="0" collapsed="false">
      <c r="A30" s="69" t="s">
        <v>338</v>
      </c>
      <c r="B30" s="37" t="s">
        <v>339</v>
      </c>
      <c r="C30" s="70" t="s">
        <v>303</v>
      </c>
      <c r="D30" s="71" t="str">
        <f aca="false">IF(ISNUMBER(SEARCH($A30,Classify!$C$8)),$A30&amp;"; ","")</f>
        <v/>
      </c>
      <c r="E30" s="37" t="str">
        <f aca="false">IF($D30&lt;&gt;"",$B30&amp;"; ","")</f>
        <v/>
      </c>
      <c r="F30" s="38" t="str">
        <f aca="false">$F29&amp;$D30</f>
        <v/>
      </c>
      <c r="G30" s="38" t="str">
        <f aca="false">$G29&amp;$E30</f>
        <v/>
      </c>
    </row>
    <row r="31" customFormat="false" ht="15" hidden="false" customHeight="false" outlineLevel="0" collapsed="false">
      <c r="A31" s="69" t="s">
        <v>340</v>
      </c>
      <c r="B31" s="37" t="s">
        <v>339</v>
      </c>
      <c r="C31" s="70" t="s">
        <v>303</v>
      </c>
      <c r="D31" s="71" t="str">
        <f aca="false">IF(ISNUMBER(SEARCH($A31,Classify!$C$8)),$A31&amp;"; ","")</f>
        <v/>
      </c>
      <c r="E31" s="37" t="str">
        <f aca="false">IF($D31&lt;&gt;"",$B31&amp;"; ","")</f>
        <v/>
      </c>
      <c r="F31" s="38" t="str">
        <f aca="false">$F30&amp;$D31</f>
        <v/>
      </c>
      <c r="G31" s="38" t="str">
        <f aca="false">$G30&amp;$E31</f>
        <v/>
      </c>
    </row>
    <row r="32" customFormat="false" ht="15" hidden="false" customHeight="false" outlineLevel="0" collapsed="false">
      <c r="A32" s="69" t="s">
        <v>341</v>
      </c>
      <c r="B32" s="37" t="s">
        <v>342</v>
      </c>
      <c r="C32" s="70" t="s">
        <v>303</v>
      </c>
      <c r="D32" s="71" t="str">
        <f aca="false">IF(ISNUMBER(SEARCH($A32,Classify!$C$8)),$A32&amp;"; ","")</f>
        <v/>
      </c>
      <c r="E32" s="37" t="str">
        <f aca="false">IF($D32&lt;&gt;"",$B32&amp;"; ","")</f>
        <v/>
      </c>
      <c r="F32" s="38" t="str">
        <f aca="false">$F31&amp;$D32</f>
        <v/>
      </c>
      <c r="G32" s="38" t="str">
        <f aca="false">$G31&amp;$E32</f>
        <v/>
      </c>
    </row>
    <row r="33" customFormat="false" ht="15" hidden="false" customHeight="false" outlineLevel="0" collapsed="false">
      <c r="A33" s="69" t="s">
        <v>343</v>
      </c>
      <c r="B33" s="37" t="s">
        <v>342</v>
      </c>
      <c r="C33" s="70" t="s">
        <v>303</v>
      </c>
      <c r="D33" s="71" t="str">
        <f aca="false">IF(ISNUMBER(SEARCH($A33,Classify!$C$8)),$A33&amp;"; ","")</f>
        <v/>
      </c>
      <c r="E33" s="37" t="str">
        <f aca="false">IF($D33&lt;&gt;"",$B33&amp;"; ","")</f>
        <v/>
      </c>
      <c r="F33" s="38" t="str">
        <f aca="false">$F32&amp;$D33</f>
        <v/>
      </c>
      <c r="G33" s="38" t="str">
        <f aca="false">$G32&amp;$E33</f>
        <v/>
      </c>
    </row>
    <row r="34" customFormat="false" ht="15" hidden="false" customHeight="false" outlineLevel="0" collapsed="false">
      <c r="A34" s="69" t="s">
        <v>344</v>
      </c>
      <c r="B34" s="37" t="s">
        <v>345</v>
      </c>
      <c r="C34" s="70" t="s">
        <v>303</v>
      </c>
      <c r="D34" s="71" t="str">
        <f aca="false">IF(ISNUMBER(SEARCH($A34,Classify!$C$8)),$A34&amp;"; ","")</f>
        <v/>
      </c>
      <c r="E34" s="37" t="str">
        <f aca="false">IF($D34&lt;&gt;"",$B34&amp;"; ","")</f>
        <v/>
      </c>
      <c r="F34" s="38" t="str">
        <f aca="false">$F33&amp;$D34</f>
        <v/>
      </c>
      <c r="G34" s="38" t="str">
        <f aca="false">$G33&amp;$E34</f>
        <v/>
      </c>
    </row>
    <row r="35" customFormat="false" ht="15" hidden="false" customHeight="false" outlineLevel="0" collapsed="false">
      <c r="A35" s="69" t="s">
        <v>346</v>
      </c>
      <c r="B35" s="37" t="s">
        <v>347</v>
      </c>
      <c r="C35" s="70" t="s">
        <v>303</v>
      </c>
      <c r="D35" s="71" t="str">
        <f aca="false">IF(ISNUMBER(SEARCH($A35,Classify!$C$8)),$A35&amp;"; ","")</f>
        <v/>
      </c>
      <c r="E35" s="37" t="str">
        <f aca="false">IF($D35&lt;&gt;"",$B35&amp;"; ","")</f>
        <v/>
      </c>
      <c r="F35" s="38" t="str">
        <f aca="false">$F34&amp;$D35</f>
        <v/>
      </c>
      <c r="G35" s="38" t="str">
        <f aca="false">$G34&amp;$E35</f>
        <v/>
      </c>
    </row>
    <row r="36" customFormat="false" ht="15" hidden="false" customHeight="false" outlineLevel="0" collapsed="false">
      <c r="A36" s="69" t="s">
        <v>348</v>
      </c>
      <c r="B36" s="37" t="s">
        <v>349</v>
      </c>
      <c r="C36" s="70" t="s">
        <v>303</v>
      </c>
      <c r="D36" s="71" t="str">
        <f aca="false">IF(ISNUMBER(SEARCH($A36,Classify!$C$8)),$A36&amp;"; ","")</f>
        <v/>
      </c>
      <c r="E36" s="37" t="str">
        <f aca="false">IF($D36&lt;&gt;"",$B36&amp;"; ","")</f>
        <v/>
      </c>
      <c r="F36" s="38" t="str">
        <f aca="false">$F35&amp;$D36</f>
        <v/>
      </c>
      <c r="G36" s="38" t="str">
        <f aca="false">$G35&amp;$E36</f>
        <v/>
      </c>
    </row>
    <row r="37" customFormat="false" ht="15" hidden="false" customHeight="false" outlineLevel="0" collapsed="false">
      <c r="A37" s="69" t="s">
        <v>350</v>
      </c>
      <c r="B37" s="37" t="s">
        <v>349</v>
      </c>
      <c r="C37" s="70" t="s">
        <v>303</v>
      </c>
      <c r="D37" s="71" t="str">
        <f aca="false">IF(ISNUMBER(SEARCH($A37,Classify!$C$8)),$A37&amp;"; ","")</f>
        <v/>
      </c>
      <c r="E37" s="37" t="str">
        <f aca="false">IF($D37&lt;&gt;"",$B37&amp;"; ","")</f>
        <v/>
      </c>
      <c r="F37" s="38" t="str">
        <f aca="false">$F36&amp;$D37</f>
        <v/>
      </c>
      <c r="G37" s="38" t="str">
        <f aca="false">$G36&amp;$E37</f>
        <v/>
      </c>
    </row>
    <row r="38" customFormat="false" ht="15" hidden="false" customHeight="false" outlineLevel="0" collapsed="false">
      <c r="A38" s="69" t="s">
        <v>351</v>
      </c>
      <c r="B38" s="37" t="s">
        <v>352</v>
      </c>
      <c r="C38" s="70" t="s">
        <v>303</v>
      </c>
      <c r="D38" s="71" t="str">
        <f aca="false">IF(ISNUMBER(SEARCH($A38,Classify!$C$8)),$A38&amp;"; ","")</f>
        <v/>
      </c>
      <c r="E38" s="37" t="str">
        <f aca="false">IF($D38&lt;&gt;"",$B38&amp;"; ","")</f>
        <v/>
      </c>
      <c r="F38" s="38" t="str">
        <f aca="false">$F37&amp;$D38</f>
        <v/>
      </c>
      <c r="G38" s="38" t="str">
        <f aca="false">$G37&amp;$E38</f>
        <v/>
      </c>
    </row>
    <row r="39" customFormat="false" ht="15" hidden="false" customHeight="false" outlineLevel="0" collapsed="false">
      <c r="A39" s="69" t="s">
        <v>353</v>
      </c>
      <c r="B39" s="37" t="s">
        <v>354</v>
      </c>
      <c r="C39" s="72" t="s">
        <v>355</v>
      </c>
      <c r="D39" s="71" t="str">
        <f aca="false">IF(ISNUMBER(SEARCH($A39,Classify!$C$8)),$A39&amp;"; ","")</f>
        <v/>
      </c>
      <c r="E39" s="37" t="str">
        <f aca="false">IF($D39&lt;&gt;"",$B39&amp;"; ","")</f>
        <v/>
      </c>
      <c r="F39" s="38" t="str">
        <f aca="false">$F38&amp;$D39</f>
        <v/>
      </c>
      <c r="G39" s="38" t="str">
        <f aca="false">$G38&amp;$E39</f>
        <v/>
      </c>
    </row>
    <row r="40" customFormat="false" ht="15" hidden="false" customHeight="false" outlineLevel="0" collapsed="false">
      <c r="A40" s="69" t="s">
        <v>356</v>
      </c>
      <c r="B40" s="37" t="s">
        <v>354</v>
      </c>
      <c r="C40" s="72" t="s">
        <v>355</v>
      </c>
      <c r="D40" s="71" t="str">
        <f aca="false">IF(ISNUMBER(SEARCH($A40,Classify!$C$8)),$A40&amp;"; ","")</f>
        <v/>
      </c>
      <c r="E40" s="37" t="str">
        <f aca="false">IF($D40&lt;&gt;"",$B40&amp;"; ","")</f>
        <v/>
      </c>
      <c r="F40" s="38" t="str">
        <f aca="false">$F39&amp;$D40</f>
        <v/>
      </c>
      <c r="G40" s="38" t="str">
        <f aca="false">$G39&amp;$E40</f>
        <v/>
      </c>
    </row>
    <row r="41" customFormat="false" ht="15" hidden="false" customHeight="false" outlineLevel="0" collapsed="false">
      <c r="A41" s="69" t="s">
        <v>357</v>
      </c>
      <c r="B41" s="37" t="s">
        <v>358</v>
      </c>
      <c r="C41" s="72" t="s">
        <v>355</v>
      </c>
      <c r="D41" s="71" t="str">
        <f aca="false">IF(ISNUMBER(SEARCH($A41,Classify!$C$8)),$A41&amp;"; ","")</f>
        <v/>
      </c>
      <c r="E41" s="37" t="str">
        <f aca="false">IF($D41&lt;&gt;"",$B41&amp;"; ","")</f>
        <v/>
      </c>
      <c r="F41" s="38" t="str">
        <f aca="false">$F40&amp;$D41</f>
        <v/>
      </c>
      <c r="G41" s="38" t="str">
        <f aca="false">$G40&amp;$E41</f>
        <v/>
      </c>
    </row>
    <row r="42" customFormat="false" ht="15" hidden="false" customHeight="false" outlineLevel="0" collapsed="false">
      <c r="A42" s="69" t="s">
        <v>359</v>
      </c>
      <c r="B42" s="37" t="s">
        <v>358</v>
      </c>
      <c r="C42" s="72" t="s">
        <v>355</v>
      </c>
      <c r="D42" s="71" t="str">
        <f aca="false">IF(ISNUMBER(SEARCH($A42,Classify!$C$8)),$A42&amp;"; ","")</f>
        <v/>
      </c>
      <c r="E42" s="37" t="str">
        <f aca="false">IF($D42&lt;&gt;"",$B42&amp;"; ","")</f>
        <v/>
      </c>
      <c r="F42" s="38" t="str">
        <f aca="false">$F41&amp;$D42</f>
        <v/>
      </c>
      <c r="G42" s="38" t="str">
        <f aca="false">$G41&amp;$E42</f>
        <v/>
      </c>
    </row>
    <row r="43" customFormat="false" ht="15" hidden="false" customHeight="false" outlineLevel="0" collapsed="false">
      <c r="A43" s="69" t="s">
        <v>360</v>
      </c>
      <c r="B43" s="37" t="s">
        <v>358</v>
      </c>
      <c r="C43" s="72" t="s">
        <v>355</v>
      </c>
      <c r="D43" s="71" t="str">
        <f aca="false">IF(ISNUMBER(SEARCH($A43,Classify!$C$8)),$A43&amp;"; ","")</f>
        <v/>
      </c>
      <c r="E43" s="37" t="str">
        <f aca="false">IF($D43&lt;&gt;"",$B43&amp;"; ","")</f>
        <v/>
      </c>
      <c r="F43" s="38" t="str">
        <f aca="false">$F42&amp;$D43</f>
        <v/>
      </c>
      <c r="G43" s="38" t="str">
        <f aca="false">$G42&amp;$E43</f>
        <v/>
      </c>
    </row>
    <row r="44" customFormat="false" ht="15" hidden="false" customHeight="false" outlineLevel="0" collapsed="false">
      <c r="A44" s="69" t="s">
        <v>361</v>
      </c>
      <c r="B44" s="37" t="s">
        <v>327</v>
      </c>
      <c r="C44" s="73" t="s">
        <v>362</v>
      </c>
      <c r="D44" s="71" t="str">
        <f aca="false">IF(ISNUMBER(SEARCH($A44,Classify!$C$8)),$A44&amp;"; ","")</f>
        <v/>
      </c>
      <c r="E44" s="37" t="str">
        <f aca="false">IF($D44&lt;&gt;"",$B44&amp;"; ","")</f>
        <v/>
      </c>
      <c r="F44" s="38" t="str">
        <f aca="false">$F43&amp;$D44</f>
        <v/>
      </c>
      <c r="G44" s="38" t="str">
        <f aca="false">$G43&amp;$E44</f>
        <v/>
      </c>
    </row>
    <row r="45" customFormat="false" ht="15" hidden="false" customHeight="false" outlineLevel="0" collapsed="false">
      <c r="A45" s="69" t="s">
        <v>363</v>
      </c>
      <c r="B45" s="37" t="s">
        <v>327</v>
      </c>
      <c r="C45" s="73" t="s">
        <v>362</v>
      </c>
      <c r="D45" s="71" t="str">
        <f aca="false">IF(ISNUMBER(SEARCH($A45,Classify!$C$8)),$A45&amp;"; ","")</f>
        <v/>
      </c>
      <c r="E45" s="37" t="str">
        <f aca="false">IF($D45&lt;&gt;"",$B45&amp;"; ","")</f>
        <v/>
      </c>
      <c r="F45" s="38" t="str">
        <f aca="false">$F44&amp;$D45</f>
        <v/>
      </c>
      <c r="G45" s="38" t="str">
        <f aca="false">$G44&amp;$E45</f>
        <v/>
      </c>
    </row>
    <row r="46" customFormat="false" ht="15" hidden="false" customHeight="false" outlineLevel="0" collapsed="false">
      <c r="A46" s="69" t="s">
        <v>364</v>
      </c>
      <c r="B46" s="37" t="s">
        <v>329</v>
      </c>
      <c r="C46" s="73" t="s">
        <v>362</v>
      </c>
      <c r="D46" s="71" t="str">
        <f aca="false">IF(ISNUMBER(SEARCH($A46,Classify!$C$8)),$A46&amp;"; ","")</f>
        <v/>
      </c>
      <c r="E46" s="37" t="str">
        <f aca="false">IF($D46&lt;&gt;"",$B46&amp;"; ","")</f>
        <v/>
      </c>
      <c r="F46" s="38" t="str">
        <f aca="false">$F45&amp;$D46</f>
        <v/>
      </c>
      <c r="G46" s="38" t="str">
        <f aca="false">$G45&amp;$E46</f>
        <v/>
      </c>
    </row>
    <row r="47" customFormat="false" ht="15" hidden="false" customHeight="false" outlineLevel="0" collapsed="false">
      <c r="A47" s="69" t="s">
        <v>365</v>
      </c>
      <c r="B47" s="37" t="s">
        <v>329</v>
      </c>
      <c r="C47" s="73" t="s">
        <v>362</v>
      </c>
      <c r="D47" s="71" t="str">
        <f aca="false">IF(ISNUMBER(SEARCH($A47,Classify!$C$8)),$A47&amp;"; ","")</f>
        <v/>
      </c>
      <c r="E47" s="37" t="str">
        <f aca="false">IF($D47&lt;&gt;"",$B47&amp;"; ","")</f>
        <v/>
      </c>
      <c r="F47" s="38" t="str">
        <f aca="false">$F46&amp;$D47</f>
        <v/>
      </c>
      <c r="G47" s="38" t="str">
        <f aca="false">$G46&amp;$E47</f>
        <v/>
      </c>
    </row>
    <row r="48" customFormat="false" ht="15" hidden="false" customHeight="false" outlineLevel="0" collapsed="false">
      <c r="A48" s="69" t="s">
        <v>366</v>
      </c>
      <c r="B48" s="37" t="s">
        <v>367</v>
      </c>
      <c r="C48" s="73" t="s">
        <v>362</v>
      </c>
      <c r="D48" s="71" t="str">
        <f aca="false">IF(ISNUMBER(SEARCH($A48,Classify!$C$8)),$A48&amp;"; ","")</f>
        <v/>
      </c>
      <c r="E48" s="37" t="str">
        <f aca="false">IF($D48&lt;&gt;"",$B48&amp;"; ","")</f>
        <v/>
      </c>
      <c r="F48" s="38" t="str">
        <f aca="false">$F47&amp;$D48</f>
        <v/>
      </c>
      <c r="G48" s="38" t="str">
        <f aca="false">$G47&amp;$E48</f>
        <v/>
      </c>
    </row>
    <row r="49" customFormat="false" ht="15" hidden="false" customHeight="false" outlineLevel="0" collapsed="false">
      <c r="A49" s="69" t="s">
        <v>368</v>
      </c>
      <c r="B49" s="37" t="s">
        <v>367</v>
      </c>
      <c r="C49" s="73" t="s">
        <v>362</v>
      </c>
      <c r="D49" s="71" t="str">
        <f aca="false">IF(ISNUMBER(SEARCH($A49,Classify!$C$8)),$A49&amp;"; ","")</f>
        <v/>
      </c>
      <c r="E49" s="37" t="str">
        <f aca="false">IF($D49&lt;&gt;"",$B49&amp;"; ","")</f>
        <v/>
      </c>
      <c r="F49" s="38" t="str">
        <f aca="false">$F48&amp;$D49</f>
        <v/>
      </c>
      <c r="G49" s="38" t="str">
        <f aca="false">$G48&amp;$E49</f>
        <v/>
      </c>
    </row>
    <row r="50" customFormat="false" ht="15" hidden="false" customHeight="false" outlineLevel="0" collapsed="false">
      <c r="A50" s="69" t="s">
        <v>369</v>
      </c>
      <c r="B50" s="37" t="s">
        <v>329</v>
      </c>
      <c r="C50" s="73" t="s">
        <v>362</v>
      </c>
      <c r="D50" s="71" t="str">
        <f aca="false">IF(ISNUMBER(SEARCH($A50,Classify!$C$8)),$A50&amp;"; ","")</f>
        <v/>
      </c>
      <c r="E50" s="37" t="str">
        <f aca="false">IF($D50&lt;&gt;"",$B50&amp;"; ","")</f>
        <v/>
      </c>
      <c r="F50" s="38" t="str">
        <f aca="false">$F49&amp;$D50</f>
        <v/>
      </c>
      <c r="G50" s="38" t="str">
        <f aca="false">$G49&amp;$E50</f>
        <v/>
      </c>
    </row>
    <row r="51" customFormat="false" ht="15" hidden="false" customHeight="false" outlineLevel="0" collapsed="false">
      <c r="A51" s="69" t="s">
        <v>370</v>
      </c>
      <c r="B51" s="37" t="s">
        <v>329</v>
      </c>
      <c r="C51" s="73" t="s">
        <v>362</v>
      </c>
      <c r="D51" s="71" t="str">
        <f aca="false">IF(ISNUMBER(SEARCH($A51,Classify!$C$8)),$A51&amp;"; ","")</f>
        <v/>
      </c>
      <c r="E51" s="37" t="str">
        <f aca="false">IF($D51&lt;&gt;"",$B51&amp;"; ","")</f>
        <v/>
      </c>
      <c r="F51" s="38" t="str">
        <f aca="false">$F50&amp;$D51</f>
        <v/>
      </c>
      <c r="G51" s="38" t="str">
        <f aca="false">$G50&amp;$E51</f>
        <v/>
      </c>
    </row>
    <row r="52" customFormat="false" ht="15" hidden="false" customHeight="false" outlineLevel="0" collapsed="false">
      <c r="A52" s="69" t="s">
        <v>371</v>
      </c>
      <c r="B52" s="37" t="s">
        <v>367</v>
      </c>
      <c r="C52" s="73" t="s">
        <v>362</v>
      </c>
      <c r="D52" s="71" t="str">
        <f aca="false">IF(ISNUMBER(SEARCH($A52,Classify!$C$8)),$A52&amp;"; ","")</f>
        <v/>
      </c>
      <c r="E52" s="37" t="str">
        <f aca="false">IF($D52&lt;&gt;"",$B52&amp;"; ","")</f>
        <v/>
      </c>
      <c r="F52" s="38" t="str">
        <f aca="false">$F51&amp;$D52</f>
        <v/>
      </c>
      <c r="G52" s="38" t="str">
        <f aca="false">$G51&amp;$E52</f>
        <v/>
      </c>
    </row>
    <row r="53" customFormat="false" ht="15" hidden="false" customHeight="false" outlineLevel="0" collapsed="false">
      <c r="A53" s="69" t="s">
        <v>372</v>
      </c>
      <c r="B53" s="37" t="s">
        <v>367</v>
      </c>
      <c r="C53" s="73" t="s">
        <v>362</v>
      </c>
      <c r="D53" s="71" t="str">
        <f aca="false">IF(ISNUMBER(SEARCH($A53,Classify!$C$8)),$A53&amp;"; ","")</f>
        <v/>
      </c>
      <c r="E53" s="37" t="str">
        <f aca="false">IF($D53&lt;&gt;"",$B53&amp;"; ","")</f>
        <v/>
      </c>
      <c r="F53" s="38" t="str">
        <f aca="false">$F52&amp;$D53</f>
        <v/>
      </c>
      <c r="G53" s="38" t="str">
        <f aca="false">$G52&amp;$E53</f>
        <v/>
      </c>
    </row>
    <row r="54" customFormat="false" ht="15" hidden="false" customHeight="false" outlineLevel="0" collapsed="false">
      <c r="A54" s="69" t="s">
        <v>373</v>
      </c>
      <c r="B54" s="37" t="s">
        <v>367</v>
      </c>
      <c r="C54" s="73" t="s">
        <v>362</v>
      </c>
      <c r="D54" s="71" t="str">
        <f aca="false">IF(ISNUMBER(SEARCH($A54,Classify!$C$8)),$A54&amp;"; ","")</f>
        <v/>
      </c>
      <c r="E54" s="37" t="str">
        <f aca="false">IF($D54&lt;&gt;"",$B54&amp;"; ","")</f>
        <v/>
      </c>
      <c r="F54" s="38" t="str">
        <f aca="false">$F53&amp;$D54</f>
        <v/>
      </c>
      <c r="G54" s="38" t="str">
        <f aca="false">$G53&amp;$E54</f>
        <v/>
      </c>
    </row>
    <row r="55" customFormat="false" ht="15" hidden="false" customHeight="false" outlineLevel="0" collapsed="false">
      <c r="A55" s="69" t="s">
        <v>374</v>
      </c>
      <c r="B55" s="37" t="s">
        <v>367</v>
      </c>
      <c r="C55" s="73" t="s">
        <v>362</v>
      </c>
      <c r="D55" s="71" t="str">
        <f aca="false">IF(ISNUMBER(SEARCH($A55,Classify!$C$8)),$A55&amp;"; ","")</f>
        <v/>
      </c>
      <c r="E55" s="37" t="str">
        <f aca="false">IF($D55&lt;&gt;"",$B55&amp;"; ","")</f>
        <v/>
      </c>
      <c r="F55" s="38" t="str">
        <f aca="false">$F54&amp;$D55</f>
        <v/>
      </c>
      <c r="G55" s="38" t="str">
        <f aca="false">$G54&amp;$E55</f>
        <v/>
      </c>
    </row>
    <row r="56" customFormat="false" ht="15" hidden="false" customHeight="false" outlineLevel="0" collapsed="false">
      <c r="A56" s="69" t="s">
        <v>375</v>
      </c>
      <c r="B56" s="37" t="s">
        <v>327</v>
      </c>
      <c r="C56" s="73" t="s">
        <v>362</v>
      </c>
      <c r="D56" s="71" t="str">
        <f aca="false">IF(ISNUMBER(SEARCH($A56,Classify!$C$8)),$A56&amp;"; ","")</f>
        <v/>
      </c>
      <c r="E56" s="37" t="str">
        <f aca="false">IF($D56&lt;&gt;"",$B56&amp;"; ","")</f>
        <v/>
      </c>
      <c r="F56" s="38" t="str">
        <f aca="false">$F55&amp;$D56</f>
        <v/>
      </c>
      <c r="G56" s="38" t="str">
        <f aca="false">$G55&amp;$E56</f>
        <v/>
      </c>
    </row>
    <row r="57" customFormat="false" ht="15" hidden="false" customHeight="false" outlineLevel="0" collapsed="false">
      <c r="A57" s="69" t="s">
        <v>376</v>
      </c>
      <c r="B57" s="37" t="s">
        <v>377</v>
      </c>
      <c r="C57" s="73" t="s">
        <v>362</v>
      </c>
      <c r="D57" s="71" t="str">
        <f aca="false">IF(ISNUMBER(SEARCH($A57,Classify!$C$8)),$A57&amp;"; ","")</f>
        <v/>
      </c>
      <c r="E57" s="37" t="str">
        <f aca="false">IF($D57&lt;&gt;"",$B57&amp;"; ","")</f>
        <v/>
      </c>
      <c r="F57" s="38" t="str">
        <f aca="false">$F56&amp;$D57</f>
        <v/>
      </c>
      <c r="G57" s="38" t="str">
        <f aca="false">$G56&amp;$E57</f>
        <v/>
      </c>
    </row>
    <row r="58" customFormat="false" ht="15" hidden="false" customHeight="false" outlineLevel="0" collapsed="false">
      <c r="A58" s="69" t="s">
        <v>378</v>
      </c>
      <c r="B58" s="37" t="s">
        <v>377</v>
      </c>
      <c r="C58" s="73" t="s">
        <v>362</v>
      </c>
      <c r="D58" s="71" t="str">
        <f aca="false">IF(ISNUMBER(SEARCH($A58,Classify!$C$8)),$A58&amp;"; ","")</f>
        <v/>
      </c>
      <c r="E58" s="37" t="str">
        <f aca="false">IF($D58&lt;&gt;"",$B58&amp;"; ","")</f>
        <v/>
      </c>
      <c r="F58" s="38" t="str">
        <f aca="false">$F57&amp;$D58</f>
        <v/>
      </c>
      <c r="G58" s="38" t="str">
        <f aca="false">$G57&amp;$E58</f>
        <v/>
      </c>
    </row>
    <row r="59" customFormat="false" ht="15" hidden="false" customHeight="false" outlineLevel="0" collapsed="false">
      <c r="A59" s="69" t="s">
        <v>379</v>
      </c>
      <c r="B59" s="37" t="s">
        <v>302</v>
      </c>
      <c r="C59" s="73" t="s">
        <v>362</v>
      </c>
      <c r="D59" s="71" t="str">
        <f aca="false">IF(ISNUMBER(SEARCH($A59,Classify!$C$8)),$A59&amp;"; ","")</f>
        <v/>
      </c>
      <c r="E59" s="37" t="str">
        <f aca="false">IF($D59&lt;&gt;"",$B59&amp;"; ","")</f>
        <v/>
      </c>
      <c r="F59" s="38" t="str">
        <f aca="false">$F58&amp;$D59</f>
        <v/>
      </c>
      <c r="G59" s="38" t="str">
        <f aca="false">$G58&amp;$E59</f>
        <v/>
      </c>
    </row>
    <row r="60" customFormat="false" ht="15" hidden="false" customHeight="false" outlineLevel="0" collapsed="false">
      <c r="A60" s="69" t="s">
        <v>380</v>
      </c>
      <c r="B60" s="37" t="s">
        <v>302</v>
      </c>
      <c r="C60" s="73" t="s">
        <v>362</v>
      </c>
      <c r="D60" s="71" t="str">
        <f aca="false">IF(ISNUMBER(SEARCH($A60,Classify!$C$8)),$A60&amp;"; ","")</f>
        <v/>
      </c>
      <c r="E60" s="37" t="str">
        <f aca="false">IF($D60&lt;&gt;"",$B60&amp;"; ","")</f>
        <v/>
      </c>
      <c r="F60" s="38" t="str">
        <f aca="false">$F59&amp;$D60</f>
        <v/>
      </c>
      <c r="G60" s="38" t="str">
        <f aca="false">$G59&amp;$E60</f>
        <v/>
      </c>
    </row>
    <row r="61" customFormat="false" ht="15" hidden="false" customHeight="false" outlineLevel="0" collapsed="false">
      <c r="A61" s="69" t="s">
        <v>381</v>
      </c>
      <c r="B61" s="37" t="s">
        <v>302</v>
      </c>
      <c r="C61" s="73" t="s">
        <v>362</v>
      </c>
      <c r="D61" s="71" t="str">
        <f aca="false">IF(ISNUMBER(SEARCH($A61,Classify!$C$8)),$A61&amp;"; ","")</f>
        <v/>
      </c>
      <c r="E61" s="37" t="str">
        <f aca="false">IF($D61&lt;&gt;"",$B61&amp;"; ","")</f>
        <v/>
      </c>
      <c r="F61" s="38" t="str">
        <f aca="false">$F60&amp;$D61</f>
        <v/>
      </c>
      <c r="G61" s="38" t="str">
        <f aca="false">$G60&amp;$E61</f>
        <v/>
      </c>
    </row>
    <row r="62" customFormat="false" ht="15" hidden="false" customHeight="false" outlineLevel="0" collapsed="false">
      <c r="A62" s="69" t="s">
        <v>382</v>
      </c>
      <c r="B62" s="37" t="s">
        <v>157</v>
      </c>
      <c r="C62" s="73" t="s">
        <v>362</v>
      </c>
      <c r="D62" s="71" t="str">
        <f aca="false">IF(ISNUMBER(SEARCH($A62,Classify!$C$8)),$A62&amp;"; ","")</f>
        <v/>
      </c>
      <c r="E62" s="37" t="str">
        <f aca="false">IF($D62&lt;&gt;"",$B62&amp;"; ","")</f>
        <v/>
      </c>
      <c r="F62" s="38" t="str">
        <f aca="false">$F61&amp;$D62</f>
        <v/>
      </c>
      <c r="G62" s="38" t="str">
        <f aca="false">$G61&amp;$E62</f>
        <v/>
      </c>
    </row>
    <row r="63" customFormat="false" ht="15" hidden="false" customHeight="false" outlineLevel="0" collapsed="false">
      <c r="A63" s="69" t="s">
        <v>383</v>
      </c>
      <c r="B63" s="37" t="s">
        <v>157</v>
      </c>
      <c r="C63" s="73" t="s">
        <v>362</v>
      </c>
      <c r="D63" s="71" t="str">
        <f aca="false">IF(ISNUMBER(SEARCH($A63,Classify!$C$8)),$A63&amp;"; ","")</f>
        <v/>
      </c>
      <c r="E63" s="37" t="str">
        <f aca="false">IF($D63&lt;&gt;"",$B63&amp;"; ","")</f>
        <v/>
      </c>
      <c r="F63" s="38" t="str">
        <f aca="false">$F62&amp;$D63</f>
        <v/>
      </c>
      <c r="G63" s="38" t="str">
        <f aca="false">$G62&amp;$E63</f>
        <v/>
      </c>
    </row>
    <row r="64" customFormat="false" ht="15" hidden="false" customHeight="false" outlineLevel="0" collapsed="false">
      <c r="A64" s="69" t="s">
        <v>384</v>
      </c>
      <c r="B64" s="37" t="s">
        <v>112</v>
      </c>
      <c r="C64" s="73" t="s">
        <v>362</v>
      </c>
      <c r="D64" s="71" t="str">
        <f aca="false">IF(ISNUMBER(SEARCH($A64,Classify!$C$8)),$A64&amp;"; ","")</f>
        <v/>
      </c>
      <c r="E64" s="37" t="str">
        <f aca="false">IF($D64&lt;&gt;"",$B64&amp;"; ","")</f>
        <v/>
      </c>
      <c r="F64" s="38" t="str">
        <f aca="false">$F63&amp;$D64</f>
        <v/>
      </c>
      <c r="G64" s="38" t="str">
        <f aca="false">$G63&amp;$E64</f>
        <v/>
      </c>
    </row>
    <row r="65" customFormat="false" ht="15" hidden="false" customHeight="false" outlineLevel="0" collapsed="false">
      <c r="A65" s="69" t="s">
        <v>385</v>
      </c>
      <c r="B65" s="37" t="s">
        <v>302</v>
      </c>
      <c r="C65" s="73" t="s">
        <v>362</v>
      </c>
      <c r="D65" s="71" t="str">
        <f aca="false">IF(ISNUMBER(SEARCH($A65,Classify!$C$8)),$A65&amp;"; ","")</f>
        <v/>
      </c>
      <c r="E65" s="37" t="str">
        <f aca="false">IF($D65&lt;&gt;"",$B65&amp;"; ","")</f>
        <v/>
      </c>
      <c r="F65" s="38" t="str">
        <f aca="false">$F64&amp;$D65</f>
        <v/>
      </c>
      <c r="G65" s="38" t="str">
        <f aca="false">$G64&amp;$E65</f>
        <v/>
      </c>
    </row>
    <row r="66" customFormat="false" ht="15" hidden="false" customHeight="false" outlineLevel="0" collapsed="false">
      <c r="A66" s="69" t="s">
        <v>386</v>
      </c>
      <c r="B66" s="37" t="s">
        <v>302</v>
      </c>
      <c r="C66" s="73" t="s">
        <v>362</v>
      </c>
      <c r="D66" s="71" t="str">
        <f aca="false">IF(ISNUMBER(SEARCH($A66,Classify!$C$8)),$A66&amp;"; ","")</f>
        <v/>
      </c>
      <c r="E66" s="37" t="str">
        <f aca="false">IF($D66&lt;&gt;"",$B66&amp;"; ","")</f>
        <v/>
      </c>
      <c r="F66" s="38" t="str">
        <f aca="false">$F65&amp;$D66</f>
        <v/>
      </c>
      <c r="G66" s="38" t="str">
        <f aca="false">$G65&amp;$E66</f>
        <v/>
      </c>
    </row>
    <row r="67" customFormat="false" ht="15" hidden="false" customHeight="false" outlineLevel="0" collapsed="false">
      <c r="A67" s="69" t="s">
        <v>387</v>
      </c>
      <c r="B67" s="37" t="s">
        <v>112</v>
      </c>
      <c r="C67" s="73" t="s">
        <v>362</v>
      </c>
      <c r="D67" s="71" t="str">
        <f aca="false">IF(ISNUMBER(SEARCH($A67,Classify!$C$8)),$A67&amp;"; ","")</f>
        <v/>
      </c>
      <c r="E67" s="37" t="str">
        <f aca="false">IF($D67&lt;&gt;"",$B67&amp;"; ","")</f>
        <v/>
      </c>
      <c r="F67" s="38" t="str">
        <f aca="false">$F66&amp;$D67</f>
        <v/>
      </c>
      <c r="G67" s="38" t="str">
        <f aca="false">$G66&amp;$E67</f>
        <v/>
      </c>
    </row>
    <row r="68" customFormat="false" ht="15" hidden="false" customHeight="false" outlineLevel="0" collapsed="false">
      <c r="A68" s="69" t="s">
        <v>388</v>
      </c>
      <c r="B68" s="37" t="s">
        <v>149</v>
      </c>
      <c r="C68" s="73" t="s">
        <v>362</v>
      </c>
      <c r="D68" s="71" t="str">
        <f aca="false">IF(ISNUMBER(SEARCH($A68,Classify!$C$8)),$A68&amp;"; ","")</f>
        <v/>
      </c>
      <c r="E68" s="37" t="str">
        <f aca="false">IF($D68&lt;&gt;"",$B68&amp;"; ","")</f>
        <v/>
      </c>
      <c r="F68" s="38" t="str">
        <f aca="false">$F67&amp;$D68</f>
        <v/>
      </c>
      <c r="G68" s="38" t="str">
        <f aca="false">$G67&amp;$E68</f>
        <v/>
      </c>
    </row>
    <row r="69" customFormat="false" ht="15" hidden="false" customHeight="false" outlineLevel="0" collapsed="false">
      <c r="A69" s="69" t="s">
        <v>389</v>
      </c>
      <c r="B69" s="37" t="s">
        <v>367</v>
      </c>
      <c r="C69" s="73" t="s">
        <v>362</v>
      </c>
      <c r="D69" s="71" t="str">
        <f aca="false">IF(ISNUMBER(SEARCH($A69,Classify!$C$8)),$A69&amp;"; ","")</f>
        <v/>
      </c>
      <c r="E69" s="37" t="str">
        <f aca="false">IF($D69&lt;&gt;"",$B69&amp;"; ","")</f>
        <v/>
      </c>
      <c r="F69" s="38" t="str">
        <f aca="false">$F68&amp;$D69</f>
        <v/>
      </c>
      <c r="G69" s="38" t="str">
        <f aca="false">$G68&amp;$E69</f>
        <v/>
      </c>
    </row>
    <row r="70" customFormat="false" ht="15" hidden="false" customHeight="false" outlineLevel="0" collapsed="false">
      <c r="A70" s="69" t="s">
        <v>390</v>
      </c>
      <c r="B70" s="37" t="s">
        <v>367</v>
      </c>
      <c r="C70" s="73" t="s">
        <v>362</v>
      </c>
      <c r="D70" s="71" t="str">
        <f aca="false">IF(ISNUMBER(SEARCH($A70,Classify!$C$8)),$A70&amp;"; ","")</f>
        <v/>
      </c>
      <c r="E70" s="37" t="str">
        <f aca="false">IF($D70&lt;&gt;"",$B70&amp;"; ","")</f>
        <v/>
      </c>
      <c r="F70" s="38" t="str">
        <f aca="false">$F69&amp;$D70</f>
        <v/>
      </c>
      <c r="G70" s="38" t="str">
        <f aca="false">$G69&amp;$E70</f>
        <v/>
      </c>
    </row>
    <row r="71" customFormat="false" ht="15" hidden="false" customHeight="false" outlineLevel="0" collapsed="false">
      <c r="A71" s="69" t="s">
        <v>391</v>
      </c>
      <c r="B71" s="37" t="s">
        <v>367</v>
      </c>
      <c r="C71" s="73" t="s">
        <v>362</v>
      </c>
      <c r="D71" s="71" t="str">
        <f aca="false">IF(ISNUMBER(SEARCH($A71,Classify!$C$8)),$A71&amp;"; ","")</f>
        <v/>
      </c>
      <c r="E71" s="37" t="str">
        <f aca="false">IF($D71&lt;&gt;"",$B71&amp;"; ","")</f>
        <v/>
      </c>
      <c r="F71" s="38" t="str">
        <f aca="false">$F70&amp;$D71</f>
        <v/>
      </c>
      <c r="G71" s="38" t="str">
        <f aca="false">$G70&amp;$E71</f>
        <v/>
      </c>
    </row>
    <row r="72" customFormat="false" ht="15" hidden="false" customHeight="false" outlineLevel="0" collapsed="false">
      <c r="A72" s="69" t="s">
        <v>392</v>
      </c>
      <c r="B72" s="37" t="s">
        <v>367</v>
      </c>
      <c r="C72" s="73" t="s">
        <v>362</v>
      </c>
      <c r="D72" s="71" t="str">
        <f aca="false">IF(ISNUMBER(SEARCH($A72,Classify!$C$8)),$A72&amp;"; ","")</f>
        <v/>
      </c>
      <c r="E72" s="37" t="str">
        <f aca="false">IF($D72&lt;&gt;"",$B72&amp;"; ","")</f>
        <v/>
      </c>
      <c r="F72" s="38" t="str">
        <f aca="false">$F71&amp;$D72</f>
        <v/>
      </c>
      <c r="G72" s="38" t="str">
        <f aca="false">$G71&amp;$E72</f>
        <v/>
      </c>
    </row>
    <row r="73" customFormat="false" ht="15" hidden="false" customHeight="false" outlineLevel="0" collapsed="false">
      <c r="A73" s="69" t="s">
        <v>393</v>
      </c>
      <c r="B73" s="37" t="s">
        <v>149</v>
      </c>
      <c r="C73" s="73" t="s">
        <v>362</v>
      </c>
      <c r="D73" s="71" t="str">
        <f aca="false">IF(ISNUMBER(SEARCH($A73,Classify!$C$8)),$A73&amp;"; ","")</f>
        <v/>
      </c>
      <c r="E73" s="37" t="str">
        <f aca="false">IF($D73&lt;&gt;"",$B73&amp;"; ","")</f>
        <v/>
      </c>
      <c r="F73" s="38" t="str">
        <f aca="false">$F72&amp;$D73</f>
        <v/>
      </c>
      <c r="G73" s="38" t="str">
        <f aca="false">$G72&amp;$E73</f>
        <v/>
      </c>
    </row>
    <row r="74" customFormat="false" ht="15" hidden="false" customHeight="false" outlineLevel="0" collapsed="false">
      <c r="A74" s="69" t="s">
        <v>394</v>
      </c>
      <c r="B74" s="37" t="s">
        <v>177</v>
      </c>
      <c r="C74" s="74" t="s">
        <v>395</v>
      </c>
      <c r="D74" s="71" t="str">
        <f aca="false">IF(ISNUMBER(SEARCH($A74,Classify!$C$8)),$A74&amp;"; ","")</f>
        <v/>
      </c>
      <c r="E74" s="37" t="str">
        <f aca="false">IF($D74&lt;&gt;"",$B74&amp;"; ","")</f>
        <v/>
      </c>
      <c r="F74" s="38" t="str">
        <f aca="false">$F73&amp;$D74</f>
        <v/>
      </c>
      <c r="G74" s="38" t="str">
        <f aca="false">$G73&amp;$E74</f>
        <v/>
      </c>
    </row>
    <row r="75" customFormat="false" ht="15" hidden="false" customHeight="false" outlineLevel="0" collapsed="false">
      <c r="A75" s="69" t="s">
        <v>396</v>
      </c>
      <c r="B75" s="37" t="s">
        <v>177</v>
      </c>
      <c r="C75" s="74" t="s">
        <v>395</v>
      </c>
      <c r="D75" s="71" t="str">
        <f aca="false">IF(ISNUMBER(SEARCH($A75,Classify!$C$8)),$A75&amp;"; ","")</f>
        <v/>
      </c>
      <c r="E75" s="37" t="str">
        <f aca="false">IF($D75&lt;&gt;"",$B75&amp;"; ","")</f>
        <v/>
      </c>
      <c r="F75" s="38" t="str">
        <f aca="false">$F74&amp;$D75</f>
        <v/>
      </c>
      <c r="G75" s="38" t="str">
        <f aca="false">$G74&amp;$E75</f>
        <v/>
      </c>
    </row>
    <row r="76" customFormat="false" ht="15" hidden="false" customHeight="false" outlineLevel="0" collapsed="false">
      <c r="A76" s="69" t="s">
        <v>397</v>
      </c>
      <c r="B76" s="37" t="s">
        <v>398</v>
      </c>
      <c r="C76" s="74" t="s">
        <v>395</v>
      </c>
      <c r="D76" s="71" t="str">
        <f aca="false">IF(ISNUMBER(SEARCH($A76,Classify!$C$8)),$A76&amp;"; ","")</f>
        <v/>
      </c>
      <c r="E76" s="37" t="str">
        <f aca="false">IF($D76&lt;&gt;"",$B76&amp;"; ","")</f>
        <v/>
      </c>
      <c r="F76" s="38" t="str">
        <f aca="false">$F75&amp;$D76</f>
        <v/>
      </c>
      <c r="G76" s="38" t="str">
        <f aca="false">$G75&amp;$E76</f>
        <v/>
      </c>
    </row>
    <row r="77" customFormat="false" ht="15" hidden="false" customHeight="false" outlineLevel="0" collapsed="false">
      <c r="A77" s="69" t="s">
        <v>399</v>
      </c>
      <c r="B77" s="37" t="s">
        <v>177</v>
      </c>
      <c r="C77" s="74" t="s">
        <v>395</v>
      </c>
      <c r="D77" s="71" t="str">
        <f aca="false">IF(ISNUMBER(SEARCH($A77,Classify!$C$8)),$A77&amp;"; ","")</f>
        <v/>
      </c>
      <c r="E77" s="37" t="str">
        <f aca="false">IF($D77&lt;&gt;"",$B77&amp;"; ","")</f>
        <v/>
      </c>
      <c r="F77" s="38" t="str">
        <f aca="false">$F76&amp;$D77</f>
        <v/>
      </c>
      <c r="G77" s="38" t="str">
        <f aca="false">$G76&amp;$E77</f>
        <v/>
      </c>
    </row>
    <row r="78" customFormat="false" ht="15" hidden="false" customHeight="false" outlineLevel="0" collapsed="false">
      <c r="A78" s="69" t="s">
        <v>400</v>
      </c>
      <c r="B78" s="37" t="s">
        <v>177</v>
      </c>
      <c r="C78" s="74" t="s">
        <v>395</v>
      </c>
      <c r="D78" s="71" t="str">
        <f aca="false">IF(ISNUMBER(SEARCH($A78,Classify!$C$8)),$A78&amp;"; ","")</f>
        <v/>
      </c>
      <c r="E78" s="37" t="str">
        <f aca="false">IF($D78&lt;&gt;"",$B78&amp;"; ","")</f>
        <v/>
      </c>
      <c r="F78" s="38" t="str">
        <f aca="false">$F77&amp;$D78</f>
        <v/>
      </c>
      <c r="G78" s="38" t="str">
        <f aca="false">$G77&amp;$E78</f>
        <v/>
      </c>
    </row>
    <row r="79" customFormat="false" ht="15" hidden="false" customHeight="false" outlineLevel="0" collapsed="false">
      <c r="A79" s="69" t="s">
        <v>401</v>
      </c>
      <c r="B79" s="37" t="s">
        <v>132</v>
      </c>
      <c r="C79" s="74" t="s">
        <v>395</v>
      </c>
      <c r="D79" s="71" t="str">
        <f aca="false">IF(ISNUMBER(SEARCH($A79,Classify!$C$8)),$A79&amp;"; ","")</f>
        <v/>
      </c>
      <c r="E79" s="37" t="str">
        <f aca="false">IF($D79&lt;&gt;"",$B79&amp;"; ","")</f>
        <v/>
      </c>
      <c r="F79" s="38" t="str">
        <f aca="false">$F78&amp;$D79</f>
        <v/>
      </c>
      <c r="G79" s="38" t="str">
        <f aca="false">$G78&amp;$E79</f>
        <v/>
      </c>
    </row>
    <row r="80" customFormat="false" ht="15" hidden="false" customHeight="false" outlineLevel="0" collapsed="false">
      <c r="A80" s="69" t="s">
        <v>402</v>
      </c>
      <c r="B80" s="37" t="s">
        <v>403</v>
      </c>
      <c r="C80" s="75" t="s">
        <v>404</v>
      </c>
      <c r="D80" s="71" t="str">
        <f aca="false">IF(ISNUMBER(SEARCH($A80,Classify!$C$8)),$A80&amp;"; ","")</f>
        <v/>
      </c>
      <c r="E80" s="37" t="str">
        <f aca="false">IF($D80&lt;&gt;"",$B80&amp;"; ","")</f>
        <v/>
      </c>
      <c r="F80" s="38" t="str">
        <f aca="false">$F79&amp;$D80</f>
        <v/>
      </c>
      <c r="G80" s="38" t="str">
        <f aca="false">$G79&amp;$E80</f>
        <v/>
      </c>
    </row>
    <row r="81" customFormat="false" ht="15" hidden="false" customHeight="false" outlineLevel="0" collapsed="false">
      <c r="A81" s="69" t="s">
        <v>405</v>
      </c>
      <c r="B81" s="37" t="s">
        <v>403</v>
      </c>
      <c r="C81" s="75" t="s">
        <v>404</v>
      </c>
      <c r="D81" s="71" t="str">
        <f aca="false">IF(ISNUMBER(SEARCH($A81,Classify!$C$8)),$A81&amp;"; ","")</f>
        <v/>
      </c>
      <c r="E81" s="37" t="str">
        <f aca="false">IF($D81&lt;&gt;"",$B81&amp;"; ","")</f>
        <v/>
      </c>
      <c r="F81" s="38" t="str">
        <f aca="false">$F80&amp;$D81</f>
        <v/>
      </c>
      <c r="G81" s="38" t="str">
        <f aca="false">$G80&amp;$E81</f>
        <v/>
      </c>
    </row>
    <row r="82" customFormat="false" ht="15" hidden="false" customHeight="false" outlineLevel="0" collapsed="false">
      <c r="A82" s="69" t="s">
        <v>406</v>
      </c>
      <c r="B82" s="37" t="s">
        <v>403</v>
      </c>
      <c r="C82" s="75" t="s">
        <v>404</v>
      </c>
      <c r="D82" s="71" t="str">
        <f aca="false">IF(ISNUMBER(SEARCH($A82,Classify!$C$8)),$A82&amp;"; ","")</f>
        <v/>
      </c>
      <c r="E82" s="37" t="str">
        <f aca="false">IF($D82&lt;&gt;"",$B82&amp;"; ","")</f>
        <v/>
      </c>
      <c r="F82" s="38" t="str">
        <f aca="false">$F81&amp;$D82</f>
        <v/>
      </c>
      <c r="G82" s="38" t="str">
        <f aca="false">$G81&amp;$E82</f>
        <v/>
      </c>
    </row>
    <row r="83" customFormat="false" ht="15" hidden="false" customHeight="false" outlineLevel="0" collapsed="false">
      <c r="A83" s="69" t="s">
        <v>407</v>
      </c>
      <c r="B83" s="37" t="s">
        <v>302</v>
      </c>
      <c r="C83" s="75" t="s">
        <v>404</v>
      </c>
      <c r="D83" s="71" t="str">
        <f aca="false">IF(ISNUMBER(SEARCH($A83,Classify!$C$8)),$A83&amp;"; ","")</f>
        <v/>
      </c>
      <c r="E83" s="37" t="str">
        <f aca="false">IF($D83&lt;&gt;"",$B83&amp;"; ","")</f>
        <v/>
      </c>
      <c r="F83" s="38" t="str">
        <f aca="false">$F82&amp;$D83</f>
        <v/>
      </c>
      <c r="G83" s="38" t="str">
        <f aca="false">$G82&amp;$E83</f>
        <v/>
      </c>
    </row>
    <row r="84" customFormat="false" ht="15" hidden="false" customHeight="false" outlineLevel="0" collapsed="false">
      <c r="A84" s="69" t="s">
        <v>408</v>
      </c>
      <c r="B84" s="37" t="s">
        <v>409</v>
      </c>
      <c r="C84" s="75" t="s">
        <v>404</v>
      </c>
      <c r="D84" s="71" t="str">
        <f aca="false">IF(ISNUMBER(SEARCH($A84,Classify!$C$8)),$A84&amp;"; ","")</f>
        <v/>
      </c>
      <c r="E84" s="37" t="str">
        <f aca="false">IF($D84&lt;&gt;"",$B84&amp;"; ","")</f>
        <v/>
      </c>
      <c r="F84" s="38" t="str">
        <f aca="false">$F83&amp;$D84</f>
        <v/>
      </c>
      <c r="G84" s="38" t="str">
        <f aca="false">$G83&amp;$E84</f>
        <v/>
      </c>
    </row>
    <row r="85" customFormat="false" ht="15" hidden="false" customHeight="false" outlineLevel="0" collapsed="false">
      <c r="A85" s="69" t="s">
        <v>410</v>
      </c>
      <c r="B85" s="37" t="s">
        <v>411</v>
      </c>
      <c r="C85" s="76" t="s">
        <v>412</v>
      </c>
      <c r="D85" s="71" t="str">
        <f aca="false">IF(ISNUMBER(SEARCH($A85,Classify!$C$8)),$A85&amp;"; ","")</f>
        <v/>
      </c>
      <c r="E85" s="37" t="str">
        <f aca="false">IF($D85&lt;&gt;"",$B85&amp;"; ","")</f>
        <v/>
      </c>
      <c r="F85" s="38" t="str">
        <f aca="false">$F84&amp;$D85</f>
        <v/>
      </c>
      <c r="G85" s="38" t="str">
        <f aca="false">$G84&amp;$E85</f>
        <v/>
      </c>
    </row>
    <row r="86" customFormat="false" ht="15" hidden="false" customHeight="false" outlineLevel="0" collapsed="false">
      <c r="A86" s="69" t="s">
        <v>413</v>
      </c>
      <c r="B86" s="37" t="s">
        <v>411</v>
      </c>
      <c r="C86" s="76" t="s">
        <v>412</v>
      </c>
      <c r="D86" s="71" t="str">
        <f aca="false">IF(ISNUMBER(SEARCH($A86,Classify!$C$8)),$A86&amp;"; ","")</f>
        <v/>
      </c>
      <c r="E86" s="37" t="str">
        <f aca="false">IF($D86&lt;&gt;"",$B86&amp;"; ","")</f>
        <v/>
      </c>
      <c r="F86" s="38" t="str">
        <f aca="false">$F85&amp;$D86</f>
        <v/>
      </c>
      <c r="G86" s="38" t="str">
        <f aca="false">$G85&amp;$E86</f>
        <v/>
      </c>
    </row>
    <row r="87" customFormat="false" ht="15" hidden="false" customHeight="false" outlineLevel="0" collapsed="false">
      <c r="A87" s="69" t="s">
        <v>414</v>
      </c>
      <c r="B87" s="37" t="s">
        <v>415</v>
      </c>
      <c r="C87" s="76" t="s">
        <v>412</v>
      </c>
      <c r="D87" s="71" t="str">
        <f aca="false">IF(ISNUMBER(SEARCH($A87,Classify!$C$8)),$A87&amp;"; ","")</f>
        <v/>
      </c>
      <c r="E87" s="37" t="str">
        <f aca="false">IF($D87&lt;&gt;"",$B87&amp;"; ","")</f>
        <v/>
      </c>
      <c r="F87" s="38" t="str">
        <f aca="false">$F86&amp;$D87</f>
        <v/>
      </c>
      <c r="G87" s="38" t="str">
        <f aca="false">$G86&amp;$E87</f>
        <v/>
      </c>
    </row>
    <row r="88" customFormat="false" ht="15" hidden="false" customHeight="false" outlineLevel="0" collapsed="false">
      <c r="A88" s="69" t="s">
        <v>416</v>
      </c>
      <c r="B88" s="37" t="s">
        <v>415</v>
      </c>
      <c r="C88" s="76" t="s">
        <v>412</v>
      </c>
      <c r="D88" s="71" t="str">
        <f aca="false">IF(ISNUMBER(SEARCH($A88,Classify!$C$8)),$A88&amp;"; ","")</f>
        <v/>
      </c>
      <c r="E88" s="37" t="str">
        <f aca="false">IF($D88&lt;&gt;"",$B88&amp;"; ","")</f>
        <v/>
      </c>
      <c r="F88" s="38" t="str">
        <f aca="false">$F87&amp;$D88</f>
        <v/>
      </c>
      <c r="G88" s="38" t="str">
        <f aca="false">$G87&amp;$E88</f>
        <v/>
      </c>
    </row>
    <row r="89" customFormat="false" ht="15" hidden="false" customHeight="false" outlineLevel="0" collapsed="false">
      <c r="A89" s="69" t="s">
        <v>417</v>
      </c>
      <c r="B89" s="37" t="s">
        <v>415</v>
      </c>
      <c r="C89" s="76" t="s">
        <v>412</v>
      </c>
      <c r="D89" s="71" t="str">
        <f aca="false">IF(ISNUMBER(SEARCH($A89,Classify!$C$8)),$A89&amp;"; ","")</f>
        <v/>
      </c>
      <c r="E89" s="37" t="str">
        <f aca="false">IF($D89&lt;&gt;"",$B89&amp;"; ","")</f>
        <v/>
      </c>
      <c r="F89" s="38" t="str">
        <f aca="false">$F88&amp;$D89</f>
        <v/>
      </c>
      <c r="G89" s="38" t="str">
        <f aca="false">$G88&amp;$E89</f>
        <v/>
      </c>
    </row>
    <row r="90" customFormat="false" ht="15" hidden="false" customHeight="false" outlineLevel="0" collapsed="false">
      <c r="A90" s="69" t="s">
        <v>418</v>
      </c>
      <c r="B90" s="37" t="s">
        <v>419</v>
      </c>
      <c r="C90" s="76" t="s">
        <v>412</v>
      </c>
      <c r="D90" s="71" t="str">
        <f aca="false">IF(ISNUMBER(SEARCH($A90,Classify!$C$8)),$A90&amp;"; ","")</f>
        <v/>
      </c>
      <c r="E90" s="37" t="str">
        <f aca="false">IF($D90&lt;&gt;"",$B90&amp;"; ","")</f>
        <v/>
      </c>
      <c r="F90" s="38" t="str">
        <f aca="false">$F89&amp;$D90</f>
        <v/>
      </c>
      <c r="G90" s="38" t="str">
        <f aca="false">$G89&amp;$E90</f>
        <v/>
      </c>
    </row>
    <row r="91" customFormat="false" ht="15" hidden="false" customHeight="false" outlineLevel="0" collapsed="false">
      <c r="A91" s="69" t="s">
        <v>420</v>
      </c>
      <c r="B91" s="37" t="s">
        <v>211</v>
      </c>
      <c r="C91" s="76" t="s">
        <v>412</v>
      </c>
      <c r="D91" s="71" t="str">
        <f aca="false">IF(ISNUMBER(SEARCH($A91,Classify!$C$8)),$A91&amp;"; ","")</f>
        <v/>
      </c>
      <c r="E91" s="37" t="str">
        <f aca="false">IF($D91&lt;&gt;"",$B91&amp;"; ","")</f>
        <v/>
      </c>
      <c r="F91" s="38" t="str">
        <f aca="false">$F90&amp;$D91</f>
        <v/>
      </c>
      <c r="G91" s="38" t="str">
        <f aca="false">$G90&amp;$E91</f>
        <v/>
      </c>
    </row>
    <row r="92" customFormat="false" ht="15" hidden="false" customHeight="false" outlineLevel="0" collapsed="false">
      <c r="A92" s="69" t="s">
        <v>421</v>
      </c>
      <c r="B92" s="37" t="s">
        <v>422</v>
      </c>
      <c r="C92" s="76" t="s">
        <v>412</v>
      </c>
      <c r="D92" s="71" t="str">
        <f aca="false">IF(ISNUMBER(SEARCH($A92,Classify!$C$8)),$A92&amp;"; ","")</f>
        <v/>
      </c>
      <c r="E92" s="37" t="str">
        <f aca="false">IF($D92&lt;&gt;"",$B92&amp;"; ","")</f>
        <v/>
      </c>
      <c r="F92" s="38" t="str">
        <f aca="false">$F91&amp;$D92</f>
        <v/>
      </c>
      <c r="G92" s="38" t="str">
        <f aca="false">$G91&amp;$E92</f>
        <v/>
      </c>
    </row>
    <row r="93" customFormat="false" ht="15" hidden="false" customHeight="false" outlineLevel="0" collapsed="false">
      <c r="A93" s="69" t="s">
        <v>423</v>
      </c>
      <c r="B93" s="37" t="s">
        <v>424</v>
      </c>
      <c r="C93" s="76" t="s">
        <v>412</v>
      </c>
      <c r="D93" s="71" t="str">
        <f aca="false">IF(ISNUMBER(SEARCH($A93,Classify!$C$8)),$A93&amp;"; ","")</f>
        <v/>
      </c>
      <c r="E93" s="37" t="str">
        <f aca="false">IF($D93&lt;&gt;"",$B93&amp;"; ","")</f>
        <v/>
      </c>
      <c r="F93" s="38" t="str">
        <f aca="false">$F92&amp;$D93</f>
        <v/>
      </c>
      <c r="G93" s="38" t="str">
        <f aca="false">$G92&amp;$E93</f>
        <v/>
      </c>
    </row>
    <row r="94" customFormat="false" ht="15" hidden="false" customHeight="false" outlineLevel="0" collapsed="false">
      <c r="A94" s="69" t="s">
        <v>425</v>
      </c>
      <c r="B94" s="37" t="s">
        <v>424</v>
      </c>
      <c r="C94" s="76" t="s">
        <v>412</v>
      </c>
      <c r="D94" s="71" t="str">
        <f aca="false">IF(ISNUMBER(SEARCH($A94,Classify!$C$8)),$A94&amp;"; ","")</f>
        <v/>
      </c>
      <c r="E94" s="37" t="str">
        <f aca="false">IF($D94&lt;&gt;"",$B94&amp;"; ","")</f>
        <v/>
      </c>
      <c r="F94" s="38" t="str">
        <f aca="false">$F93&amp;$D94</f>
        <v/>
      </c>
      <c r="G94" s="38" t="str">
        <f aca="false">$G93&amp;$E94</f>
        <v/>
      </c>
    </row>
    <row r="95" customFormat="false" ht="15" hidden="false" customHeight="false" outlineLevel="0" collapsed="false">
      <c r="A95" s="69" t="s">
        <v>426</v>
      </c>
      <c r="B95" s="37" t="s">
        <v>427</v>
      </c>
      <c r="C95" s="76" t="s">
        <v>412</v>
      </c>
      <c r="D95" s="71" t="str">
        <f aca="false">IF(ISNUMBER(SEARCH($A95,Classify!$C$8)),$A95&amp;"; ","")</f>
        <v/>
      </c>
      <c r="E95" s="37" t="str">
        <f aca="false">IF($D95&lt;&gt;"",$B95&amp;"; ","")</f>
        <v/>
      </c>
      <c r="F95" s="38" t="str">
        <f aca="false">$F94&amp;$D95</f>
        <v/>
      </c>
      <c r="G95" s="38" t="str">
        <f aca="false">$G94&amp;$E95</f>
        <v/>
      </c>
    </row>
    <row r="96" customFormat="false" ht="15" hidden="false" customHeight="false" outlineLevel="0" collapsed="false">
      <c r="A96" s="69" t="s">
        <v>428</v>
      </c>
      <c r="B96" s="37" t="s">
        <v>429</v>
      </c>
      <c r="C96" s="76" t="s">
        <v>412</v>
      </c>
      <c r="D96" s="71" t="str">
        <f aca="false">IF(ISNUMBER(SEARCH($A96,Classify!$C$8)),$A96&amp;"; ","")</f>
        <v/>
      </c>
      <c r="E96" s="37" t="str">
        <f aca="false">IF($D96&lt;&gt;"",$B96&amp;"; ","")</f>
        <v/>
      </c>
      <c r="F96" s="38" t="str">
        <f aca="false">$F95&amp;$D96</f>
        <v/>
      </c>
      <c r="G96" s="38" t="str">
        <f aca="false">$G95&amp;$E96</f>
        <v/>
      </c>
    </row>
    <row r="97" customFormat="false" ht="15" hidden="false" customHeight="false" outlineLevel="0" collapsed="false">
      <c r="A97" s="69" t="s">
        <v>430</v>
      </c>
      <c r="B97" s="37" t="s">
        <v>429</v>
      </c>
      <c r="C97" s="76" t="s">
        <v>412</v>
      </c>
      <c r="D97" s="71" t="str">
        <f aca="false">IF(ISNUMBER(SEARCH($A97,Classify!$C$8)),$A97&amp;"; ","")</f>
        <v/>
      </c>
      <c r="E97" s="37" t="str">
        <f aca="false">IF($D97&lt;&gt;"",$B97&amp;"; ","")</f>
        <v/>
      </c>
      <c r="F97" s="38" t="str">
        <f aca="false">$F96&amp;$D97</f>
        <v/>
      </c>
      <c r="G97" s="38" t="str">
        <f aca="false">$G96&amp;$E97</f>
        <v/>
      </c>
    </row>
    <row r="98" customFormat="false" ht="15" hidden="false" customHeight="false" outlineLevel="0" collapsed="false">
      <c r="A98" s="69" t="s">
        <v>431</v>
      </c>
      <c r="B98" s="37" t="s">
        <v>432</v>
      </c>
      <c r="C98" s="76" t="s">
        <v>412</v>
      </c>
      <c r="D98" s="71" t="str">
        <f aca="false">IF(ISNUMBER(SEARCH($A98,Classify!$C$8)),$A98&amp;"; ","")</f>
        <v/>
      </c>
      <c r="E98" s="37" t="str">
        <f aca="false">IF($D98&lt;&gt;"",$B98&amp;"; ","")</f>
        <v/>
      </c>
      <c r="F98" s="38" t="str">
        <f aca="false">$F97&amp;$D98</f>
        <v/>
      </c>
      <c r="G98" s="38" t="str">
        <f aca="false">$G97&amp;$E98</f>
        <v/>
      </c>
    </row>
    <row r="99" customFormat="false" ht="15" hidden="false" customHeight="false" outlineLevel="0" collapsed="false">
      <c r="A99" s="69" t="s">
        <v>433</v>
      </c>
      <c r="B99" s="37" t="s">
        <v>432</v>
      </c>
      <c r="C99" s="76" t="s">
        <v>412</v>
      </c>
      <c r="D99" s="71" t="str">
        <f aca="false">IF(ISNUMBER(SEARCH($A99,Classify!$C$8)),$A99&amp;"; ","")</f>
        <v/>
      </c>
      <c r="E99" s="37" t="str">
        <f aca="false">IF($D99&lt;&gt;"",$B99&amp;"; ","")</f>
        <v/>
      </c>
      <c r="F99" s="38" t="str">
        <f aca="false">$F98&amp;$D99</f>
        <v/>
      </c>
      <c r="G99" s="38" t="str">
        <f aca="false">$G98&amp;$E99</f>
        <v/>
      </c>
    </row>
    <row r="100" customFormat="false" ht="15" hidden="false" customHeight="false" outlineLevel="0" collapsed="false">
      <c r="A100" s="69" t="s">
        <v>434</v>
      </c>
      <c r="B100" s="37" t="s">
        <v>435</v>
      </c>
      <c r="C100" s="77" t="s">
        <v>436</v>
      </c>
      <c r="D100" s="71" t="str">
        <f aca="false">IF(ISNUMBER(SEARCH($A100,Classify!$C$8)),$A100&amp;"; ","")</f>
        <v/>
      </c>
      <c r="E100" s="37" t="str">
        <f aca="false">IF($D100&lt;&gt;"",$B100&amp;"; ","")</f>
        <v/>
      </c>
      <c r="F100" s="38" t="str">
        <f aca="false">$F99&amp;$D100</f>
        <v/>
      </c>
      <c r="G100" s="38" t="str">
        <f aca="false">$G99&amp;$E100</f>
        <v/>
      </c>
    </row>
    <row r="101" customFormat="false" ht="15" hidden="false" customHeight="false" outlineLevel="0" collapsed="false">
      <c r="A101" s="69" t="s">
        <v>437</v>
      </c>
      <c r="B101" s="37" t="s">
        <v>435</v>
      </c>
      <c r="C101" s="77" t="s">
        <v>436</v>
      </c>
      <c r="D101" s="71" t="str">
        <f aca="false">IF(ISNUMBER(SEARCH($A101,Classify!$C$8)),$A101&amp;"; ","")</f>
        <v/>
      </c>
      <c r="E101" s="37" t="str">
        <f aca="false">IF($D101&lt;&gt;"",$B101&amp;"; ","")</f>
        <v/>
      </c>
      <c r="F101" s="38" t="str">
        <f aca="false">$F100&amp;$D101</f>
        <v/>
      </c>
      <c r="G101" s="38" t="str">
        <f aca="false">$G100&amp;$E101</f>
        <v/>
      </c>
    </row>
    <row r="102" customFormat="false" ht="15" hidden="false" customHeight="false" outlineLevel="0" collapsed="false">
      <c r="A102" s="69" t="s">
        <v>438</v>
      </c>
      <c r="B102" s="37" t="s">
        <v>347</v>
      </c>
      <c r="C102" s="77" t="s">
        <v>436</v>
      </c>
      <c r="D102" s="71" t="str">
        <f aca="false">IF(ISNUMBER(SEARCH($A102,Classify!$C$8)),$A102&amp;"; ","")</f>
        <v/>
      </c>
      <c r="E102" s="37" t="str">
        <f aca="false">IF($D102&lt;&gt;"",$B102&amp;"; ","")</f>
        <v/>
      </c>
      <c r="F102" s="38" t="str">
        <f aca="false">$F101&amp;$D102</f>
        <v/>
      </c>
      <c r="G102" s="38" t="str">
        <f aca="false">$G101&amp;$E102</f>
        <v/>
      </c>
    </row>
    <row r="103" customFormat="false" ht="15" hidden="false" customHeight="false" outlineLevel="0" collapsed="false">
      <c r="A103" s="69" t="s">
        <v>439</v>
      </c>
      <c r="B103" s="37" t="s">
        <v>440</v>
      </c>
      <c r="C103" s="77" t="s">
        <v>436</v>
      </c>
      <c r="D103" s="71" t="str">
        <f aca="false">IF(ISNUMBER(SEARCH($A103,Classify!$C$8)),$A103&amp;"; ","")</f>
        <v/>
      </c>
      <c r="E103" s="37" t="str">
        <f aca="false">IF($D103&lt;&gt;"",$B103&amp;"; ","")</f>
        <v/>
      </c>
      <c r="F103" s="38" t="str">
        <f aca="false">$F102&amp;$D103</f>
        <v/>
      </c>
      <c r="G103" s="38" t="str">
        <f aca="false">$G102&amp;$E103</f>
        <v/>
      </c>
    </row>
    <row r="104" customFormat="false" ht="15" hidden="false" customHeight="false" outlineLevel="0" collapsed="false">
      <c r="A104" s="69" t="s">
        <v>441</v>
      </c>
      <c r="B104" s="37" t="s">
        <v>339</v>
      </c>
      <c r="C104" s="77" t="s">
        <v>436</v>
      </c>
      <c r="D104" s="71" t="str">
        <f aca="false">IF(ISNUMBER(SEARCH($A104,Classify!$C$8)),$A104&amp;"; ","")</f>
        <v/>
      </c>
      <c r="E104" s="37" t="str">
        <f aca="false">IF($D104&lt;&gt;"",$B104&amp;"; ","")</f>
        <v/>
      </c>
      <c r="F104" s="38" t="str">
        <f aca="false">$F103&amp;$D104</f>
        <v/>
      </c>
      <c r="G104" s="38" t="str">
        <f aca="false">$G103&amp;$E104</f>
        <v/>
      </c>
    </row>
    <row r="105" customFormat="false" ht="15" hidden="false" customHeight="false" outlineLevel="0" collapsed="false">
      <c r="A105" s="69" t="s">
        <v>442</v>
      </c>
      <c r="B105" s="37" t="s">
        <v>443</v>
      </c>
      <c r="C105" s="77" t="s">
        <v>436</v>
      </c>
      <c r="D105" s="71" t="str">
        <f aca="false">IF(ISNUMBER(SEARCH($A105,Classify!$C$8)),$A105&amp;"; ","")</f>
        <v/>
      </c>
      <c r="E105" s="37" t="str">
        <f aca="false">IF($D105&lt;&gt;"",$B105&amp;"; ","")</f>
        <v/>
      </c>
      <c r="F105" s="38" t="str">
        <f aca="false">$F104&amp;$D105</f>
        <v/>
      </c>
      <c r="G105" s="38" t="str">
        <f aca="false">$G104&amp;$E105</f>
        <v/>
      </c>
    </row>
    <row r="106" customFormat="false" ht="15" hidden="false" customHeight="false" outlineLevel="0" collapsed="false">
      <c r="A106" s="69" t="s">
        <v>444</v>
      </c>
      <c r="B106" s="37" t="s">
        <v>440</v>
      </c>
      <c r="C106" s="77" t="s">
        <v>436</v>
      </c>
      <c r="D106" s="71" t="str">
        <f aca="false">IF(ISNUMBER(SEARCH($A106,Classify!$C$8)),$A106&amp;"; ","")</f>
        <v/>
      </c>
      <c r="E106" s="37" t="str">
        <f aca="false">IF($D106&lt;&gt;"",$B106&amp;"; ","")</f>
        <v/>
      </c>
      <c r="F106" s="38" t="str">
        <f aca="false">$F105&amp;$D106</f>
        <v/>
      </c>
      <c r="G106" s="38" t="str">
        <f aca="false">$G105&amp;$E106</f>
        <v/>
      </c>
    </row>
    <row r="107" customFormat="false" ht="15" hidden="false" customHeight="false" outlineLevel="0" collapsed="false">
      <c r="A107" s="69" t="s">
        <v>445</v>
      </c>
      <c r="B107" s="37" t="s">
        <v>443</v>
      </c>
      <c r="C107" s="77" t="s">
        <v>436</v>
      </c>
      <c r="D107" s="71" t="str">
        <f aca="false">IF(ISNUMBER(SEARCH($A107,Classify!$C$8)),$A107&amp;"; ","")</f>
        <v/>
      </c>
      <c r="E107" s="37" t="str">
        <f aca="false">IF($D107&lt;&gt;"",$B107&amp;"; ","")</f>
        <v/>
      </c>
      <c r="F107" s="38" t="str">
        <f aca="false">$F106&amp;$D107</f>
        <v/>
      </c>
      <c r="G107" s="38" t="str">
        <f aca="false">$G106&amp;$E107</f>
        <v/>
      </c>
    </row>
    <row r="108" customFormat="false" ht="15" hidden="false" customHeight="false" outlineLevel="0" collapsed="false">
      <c r="A108" s="69" t="s">
        <v>446</v>
      </c>
      <c r="B108" s="37" t="s">
        <v>447</v>
      </c>
      <c r="C108" s="77" t="s">
        <v>436</v>
      </c>
      <c r="D108" s="71" t="str">
        <f aca="false">IF(ISNUMBER(SEARCH($A108,Classify!$C$8)),$A108&amp;"; ","")</f>
        <v/>
      </c>
      <c r="E108" s="37" t="str">
        <f aca="false">IF($D108&lt;&gt;"",$B108&amp;"; ","")</f>
        <v/>
      </c>
      <c r="F108" s="38" t="str">
        <f aca="false">$F107&amp;$D108</f>
        <v/>
      </c>
      <c r="G108" s="38" t="str">
        <f aca="false">$G107&amp;$E108</f>
        <v/>
      </c>
    </row>
    <row r="109" customFormat="false" ht="15" hidden="false" customHeight="false" outlineLevel="0" collapsed="false">
      <c r="A109" s="69" t="s">
        <v>448</v>
      </c>
      <c r="B109" s="37" t="s">
        <v>449</v>
      </c>
      <c r="C109" s="77" t="s">
        <v>436</v>
      </c>
      <c r="D109" s="71" t="str">
        <f aca="false">IF(ISNUMBER(SEARCH($A109,Classify!$C$8)),$A109&amp;"; ","")</f>
        <v/>
      </c>
      <c r="E109" s="37" t="str">
        <f aca="false">IF($D109&lt;&gt;"",$B109&amp;"; ","")</f>
        <v/>
      </c>
      <c r="F109" s="38" t="str">
        <f aca="false">$F108&amp;$D109</f>
        <v/>
      </c>
      <c r="G109" s="38" t="str">
        <f aca="false">$G108&amp;$E109</f>
        <v/>
      </c>
    </row>
    <row r="110" customFormat="false" ht="15" hidden="false" customHeight="false" outlineLevel="0" collapsed="false">
      <c r="A110" s="69" t="s">
        <v>450</v>
      </c>
      <c r="B110" s="37" t="s">
        <v>451</v>
      </c>
      <c r="C110" s="77" t="s">
        <v>436</v>
      </c>
      <c r="D110" s="71" t="str">
        <f aca="false">IF(ISNUMBER(SEARCH($A110,Classify!$C$8)),$A110&amp;"; ","")</f>
        <v/>
      </c>
      <c r="E110" s="37" t="str">
        <f aca="false">IF($D110&lt;&gt;"",$B110&amp;"; ","")</f>
        <v/>
      </c>
      <c r="F110" s="38" t="str">
        <f aca="false">$F109&amp;$D110</f>
        <v/>
      </c>
      <c r="G110" s="38" t="str">
        <f aca="false">$G109&amp;$E110</f>
        <v/>
      </c>
    </row>
    <row r="111" customFormat="false" ht="15" hidden="false" customHeight="false" outlineLevel="0" collapsed="false">
      <c r="A111" s="69" t="s">
        <v>452</v>
      </c>
      <c r="B111" s="37" t="s">
        <v>453</v>
      </c>
      <c r="C111" s="77" t="s">
        <v>436</v>
      </c>
      <c r="D111" s="71" t="str">
        <f aca="false">IF(ISNUMBER(SEARCH($A111,Classify!$C$8)),$A111&amp;"; ","")</f>
        <v/>
      </c>
      <c r="E111" s="37" t="str">
        <f aca="false">IF($D111&lt;&gt;"",$B111&amp;"; ","")</f>
        <v/>
      </c>
      <c r="F111" s="38" t="str">
        <f aca="false">$F110&amp;$D111</f>
        <v/>
      </c>
      <c r="G111" s="38" t="str">
        <f aca="false">$G110&amp;$E111</f>
        <v/>
      </c>
    </row>
    <row r="112" customFormat="false" ht="15" hidden="false" customHeight="false" outlineLevel="0" collapsed="false">
      <c r="A112" s="69" t="s">
        <v>454</v>
      </c>
      <c r="B112" s="37" t="s">
        <v>455</v>
      </c>
      <c r="C112" s="77" t="s">
        <v>436</v>
      </c>
      <c r="D112" s="71" t="str">
        <f aca="false">IF(ISNUMBER(SEARCH($A112,Classify!$C$8)),$A112&amp;"; ","")</f>
        <v/>
      </c>
      <c r="E112" s="37" t="str">
        <f aca="false">IF($D112&lt;&gt;"",$B112&amp;"; ","")</f>
        <v/>
      </c>
      <c r="F112" s="38" t="str">
        <f aca="false">$F111&amp;$D112</f>
        <v/>
      </c>
      <c r="G112" s="38" t="str">
        <f aca="false">$G111&amp;$E112</f>
        <v/>
      </c>
    </row>
    <row r="113" customFormat="false" ht="15" hidden="false" customHeight="false" outlineLevel="0" collapsed="false">
      <c r="A113" s="69" t="s">
        <v>456</v>
      </c>
      <c r="B113" s="37" t="s">
        <v>455</v>
      </c>
      <c r="C113" s="77" t="s">
        <v>436</v>
      </c>
      <c r="D113" s="71" t="str">
        <f aca="false">IF(ISNUMBER(SEARCH($A113,Classify!$C$8)),$A113&amp;"; ","")</f>
        <v/>
      </c>
      <c r="E113" s="37" t="str">
        <f aca="false">IF($D113&lt;&gt;"",$B113&amp;"; ","")</f>
        <v/>
      </c>
      <c r="F113" s="38" t="str">
        <f aca="false">$F112&amp;$D113</f>
        <v/>
      </c>
      <c r="G113" s="38" t="str">
        <f aca="false">$G112&amp;$E113</f>
        <v/>
      </c>
    </row>
    <row r="114" customFormat="false" ht="15" hidden="false" customHeight="false" outlineLevel="0" collapsed="false">
      <c r="A114" s="69" t="s">
        <v>457</v>
      </c>
      <c r="B114" s="37" t="s">
        <v>458</v>
      </c>
      <c r="C114" s="77" t="s">
        <v>436</v>
      </c>
      <c r="D114" s="71" t="str">
        <f aca="false">IF(ISNUMBER(SEARCH($A114,Classify!$C$8)),$A114&amp;"; ","")</f>
        <v/>
      </c>
      <c r="E114" s="37" t="str">
        <f aca="false">IF($D114&lt;&gt;"",$B114&amp;"; ","")</f>
        <v/>
      </c>
      <c r="F114" s="38" t="str">
        <f aca="false">$F113&amp;$D114</f>
        <v/>
      </c>
      <c r="G114" s="38" t="str">
        <f aca="false">$G113&amp;$E114</f>
        <v/>
      </c>
    </row>
    <row r="115" customFormat="false" ht="15" hidden="false" customHeight="false" outlineLevel="0" collapsed="false">
      <c r="A115" s="69" t="s">
        <v>459</v>
      </c>
      <c r="B115" s="37" t="s">
        <v>460</v>
      </c>
      <c r="C115" s="77" t="s">
        <v>436</v>
      </c>
      <c r="D115" s="71" t="str">
        <f aca="false">IF(ISNUMBER(SEARCH($A115,Classify!$C$8)),$A115&amp;"; ","")</f>
        <v/>
      </c>
      <c r="E115" s="37" t="str">
        <f aca="false">IF($D115&lt;&gt;"",$B115&amp;"; ","")</f>
        <v/>
      </c>
      <c r="F115" s="38" t="str">
        <f aca="false">$F114&amp;$D115</f>
        <v/>
      </c>
      <c r="G115" s="38" t="str">
        <f aca="false">$G114&amp;$E115</f>
        <v/>
      </c>
    </row>
    <row r="116" customFormat="false" ht="15" hidden="false" customHeight="false" outlineLevel="0" collapsed="false">
      <c r="A116" s="69" t="s">
        <v>461</v>
      </c>
      <c r="B116" s="37" t="s">
        <v>460</v>
      </c>
      <c r="C116" s="77" t="s">
        <v>436</v>
      </c>
      <c r="D116" s="71" t="str">
        <f aca="false">IF(ISNUMBER(SEARCH($A116,Classify!$C$8)),$A116&amp;"; ","")</f>
        <v/>
      </c>
      <c r="E116" s="37" t="str">
        <f aca="false">IF($D116&lt;&gt;"",$B116&amp;"; ","")</f>
        <v/>
      </c>
      <c r="F116" s="38" t="str">
        <f aca="false">$F115&amp;$D116</f>
        <v/>
      </c>
      <c r="G116" s="38" t="str">
        <f aca="false">$G115&amp;$E116</f>
        <v/>
      </c>
    </row>
    <row r="117" customFormat="false" ht="15" hidden="false" customHeight="false" outlineLevel="0" collapsed="false">
      <c r="A117" s="69" t="s">
        <v>462</v>
      </c>
      <c r="B117" s="37" t="s">
        <v>463</v>
      </c>
      <c r="C117" s="77" t="s">
        <v>436</v>
      </c>
      <c r="D117" s="71" t="str">
        <f aca="false">IF(ISNUMBER(SEARCH($A117,Classify!$C$8)),$A117&amp;"; ","")</f>
        <v/>
      </c>
      <c r="E117" s="37" t="str">
        <f aca="false">IF($D117&lt;&gt;"",$B117&amp;"; ","")</f>
        <v/>
      </c>
      <c r="F117" s="38" t="str">
        <f aca="false">$F116&amp;$D117</f>
        <v/>
      </c>
      <c r="G117" s="38" t="str">
        <f aca="false">$G116&amp;$E117</f>
        <v/>
      </c>
    </row>
    <row r="118" customFormat="false" ht="15" hidden="false" customHeight="false" outlineLevel="0" collapsed="false">
      <c r="A118" s="69" t="s">
        <v>464</v>
      </c>
      <c r="B118" s="37" t="s">
        <v>463</v>
      </c>
      <c r="C118" s="77" t="s">
        <v>436</v>
      </c>
      <c r="D118" s="71" t="str">
        <f aca="false">IF(ISNUMBER(SEARCH($A118,Classify!$C$8)),$A118&amp;"; ","")</f>
        <v/>
      </c>
      <c r="E118" s="37" t="str">
        <f aca="false">IF($D118&lt;&gt;"",$B118&amp;"; ","")</f>
        <v/>
      </c>
      <c r="F118" s="38" t="str">
        <f aca="false">$F117&amp;$D118</f>
        <v/>
      </c>
      <c r="G118" s="38" t="str">
        <f aca="false">$G117&amp;$E118</f>
        <v/>
      </c>
    </row>
    <row r="119" customFormat="false" ht="15" hidden="false" customHeight="false" outlineLevel="0" collapsed="false">
      <c r="A119" s="69" t="s">
        <v>465</v>
      </c>
      <c r="B119" s="37" t="s">
        <v>460</v>
      </c>
      <c r="C119" s="77" t="s">
        <v>436</v>
      </c>
      <c r="D119" s="71" t="str">
        <f aca="false">IF(ISNUMBER(SEARCH($A119,Classify!$C$8)),$A119&amp;"; ","")</f>
        <v/>
      </c>
      <c r="E119" s="37" t="str">
        <f aca="false">IF($D119&lt;&gt;"",$B119&amp;"; ","")</f>
        <v/>
      </c>
      <c r="F119" s="38" t="str">
        <f aca="false">$F118&amp;$D119</f>
        <v/>
      </c>
      <c r="G119" s="38" t="str">
        <f aca="false">$G118&amp;$E119</f>
        <v/>
      </c>
    </row>
    <row r="120" customFormat="false" ht="15" hidden="false" customHeight="false" outlineLevel="0" collapsed="false">
      <c r="A120" s="69" t="s">
        <v>466</v>
      </c>
      <c r="B120" s="37" t="s">
        <v>467</v>
      </c>
      <c r="C120" s="77" t="s">
        <v>436</v>
      </c>
      <c r="D120" s="71" t="str">
        <f aca="false">IF(ISNUMBER(SEARCH($A120,Classify!$C$8)),$A120&amp;"; ","")</f>
        <v/>
      </c>
      <c r="E120" s="37" t="str">
        <f aca="false">IF($D120&lt;&gt;"",$B120&amp;"; ","")</f>
        <v/>
      </c>
      <c r="F120" s="38" t="str">
        <f aca="false">$F119&amp;$D120</f>
        <v/>
      </c>
      <c r="G120" s="38" t="str">
        <f aca="false">$G119&amp;$E120</f>
        <v/>
      </c>
    </row>
    <row r="121" customFormat="false" ht="15" hidden="false" customHeight="false" outlineLevel="0" collapsed="false">
      <c r="A121" s="69" t="s">
        <v>468</v>
      </c>
      <c r="B121" s="37" t="s">
        <v>469</v>
      </c>
      <c r="C121" s="77" t="s">
        <v>436</v>
      </c>
      <c r="D121" s="71" t="str">
        <f aca="false">IF(ISNUMBER(SEARCH($A121,Classify!$C$8)),$A121&amp;"; ","")</f>
        <v/>
      </c>
      <c r="E121" s="37" t="str">
        <f aca="false">IF($D121&lt;&gt;"",$B121&amp;"; ","")</f>
        <v/>
      </c>
      <c r="F121" s="38" t="str">
        <f aca="false">$F120&amp;$D121</f>
        <v/>
      </c>
      <c r="G121" s="38" t="str">
        <f aca="false">$G120&amp;$E121</f>
        <v/>
      </c>
    </row>
    <row r="122" customFormat="false" ht="15" hidden="false" customHeight="false" outlineLevel="0" collapsed="false">
      <c r="A122" s="69" t="s">
        <v>470</v>
      </c>
      <c r="B122" s="37" t="s">
        <v>471</v>
      </c>
      <c r="C122" s="77" t="s">
        <v>436</v>
      </c>
      <c r="D122" s="71" t="str">
        <f aca="false">IF(ISNUMBER(SEARCH($A122,Classify!$C$8)),$A122&amp;"; ","")</f>
        <v/>
      </c>
      <c r="E122" s="37" t="str">
        <f aca="false">IF($D122&lt;&gt;"",$B122&amp;"; ","")</f>
        <v/>
      </c>
      <c r="F122" s="38" t="str">
        <f aca="false">$F121&amp;$D122</f>
        <v/>
      </c>
      <c r="G122" s="38" t="str">
        <f aca="false">$G121&amp;$E122</f>
        <v/>
      </c>
    </row>
    <row r="123" customFormat="false" ht="15" hidden="false" customHeight="false" outlineLevel="0" collapsed="false">
      <c r="A123" s="69" t="s">
        <v>472</v>
      </c>
      <c r="B123" s="37" t="s">
        <v>473</v>
      </c>
      <c r="C123" s="77" t="s">
        <v>436</v>
      </c>
      <c r="D123" s="71" t="str">
        <f aca="false">IF(ISNUMBER(SEARCH($A123,Classify!$C$8)),$A123&amp;"; ","")</f>
        <v/>
      </c>
      <c r="E123" s="37" t="str">
        <f aca="false">IF($D123&lt;&gt;"",$B123&amp;"; ","")</f>
        <v/>
      </c>
      <c r="F123" s="38" t="str">
        <f aca="false">$F122&amp;$D123</f>
        <v/>
      </c>
      <c r="G123" s="38" t="str">
        <f aca="false">$G122&amp;$E123</f>
        <v/>
      </c>
    </row>
    <row r="124" customFormat="false" ht="15" hidden="false" customHeight="false" outlineLevel="0" collapsed="false">
      <c r="A124" s="69" t="s">
        <v>474</v>
      </c>
      <c r="B124" s="37" t="s">
        <v>475</v>
      </c>
      <c r="C124" s="78" t="s">
        <v>476</v>
      </c>
      <c r="D124" s="71" t="str">
        <f aca="false">IF(ISNUMBER(SEARCH($A124,Classify!$C$8)),$A124&amp;"; ","")</f>
        <v/>
      </c>
      <c r="E124" s="37" t="str">
        <f aca="false">IF($D124&lt;&gt;"",$B124&amp;"; ","")</f>
        <v/>
      </c>
      <c r="F124" s="38" t="str">
        <f aca="false">$F123&amp;$D124</f>
        <v/>
      </c>
      <c r="G124" s="38" t="str">
        <f aca="false">$G123&amp;$E124</f>
        <v/>
      </c>
    </row>
    <row r="125" customFormat="false" ht="15" hidden="false" customHeight="false" outlineLevel="0" collapsed="false">
      <c r="A125" s="69" t="s">
        <v>477</v>
      </c>
      <c r="B125" s="37" t="s">
        <v>478</v>
      </c>
      <c r="C125" s="78" t="s">
        <v>476</v>
      </c>
      <c r="D125" s="71" t="str">
        <f aca="false">IF(ISNUMBER(SEARCH($A125,Classify!$C$8)),$A125&amp;"; ","")</f>
        <v/>
      </c>
      <c r="E125" s="37" t="str">
        <f aca="false">IF($D125&lt;&gt;"",$B125&amp;"; ","")</f>
        <v/>
      </c>
      <c r="F125" s="38" t="str">
        <f aca="false">$F124&amp;$D125</f>
        <v/>
      </c>
      <c r="G125" s="38" t="str">
        <f aca="false">$G124&amp;$E125</f>
        <v/>
      </c>
    </row>
    <row r="126" customFormat="false" ht="15" hidden="false" customHeight="false" outlineLevel="0" collapsed="false">
      <c r="A126" s="69" t="s">
        <v>479</v>
      </c>
      <c r="B126" s="37" t="s">
        <v>478</v>
      </c>
      <c r="C126" s="78" t="s">
        <v>476</v>
      </c>
      <c r="D126" s="71" t="str">
        <f aca="false">IF(ISNUMBER(SEARCH($A126,Classify!$C$8)),$A126&amp;"; ","")</f>
        <v/>
      </c>
      <c r="E126" s="37" t="str">
        <f aca="false">IF($D126&lt;&gt;"",$B126&amp;"; ","")</f>
        <v/>
      </c>
      <c r="F126" s="38" t="str">
        <f aca="false">$F125&amp;$D126</f>
        <v/>
      </c>
      <c r="G126" s="38" t="str">
        <f aca="false">$G125&amp;$E126</f>
        <v/>
      </c>
    </row>
    <row r="127" customFormat="false" ht="15" hidden="false" customHeight="false" outlineLevel="0" collapsed="false">
      <c r="A127" s="69" t="s">
        <v>480</v>
      </c>
      <c r="B127" s="37" t="s">
        <v>429</v>
      </c>
      <c r="C127" s="78" t="s">
        <v>476</v>
      </c>
      <c r="D127" s="71" t="str">
        <f aca="false">IF(ISNUMBER(SEARCH($A127,Classify!$C$8)),$A127&amp;"; ","")</f>
        <v/>
      </c>
      <c r="E127" s="37" t="str">
        <f aca="false">IF($D127&lt;&gt;"",$B127&amp;"; ","")</f>
        <v/>
      </c>
      <c r="F127" s="38" t="str">
        <f aca="false">$F126&amp;$D127</f>
        <v/>
      </c>
      <c r="G127" s="38" t="str">
        <f aca="false">$G126&amp;$E127</f>
        <v/>
      </c>
    </row>
    <row r="128" customFormat="false" ht="15" hidden="false" customHeight="false" outlineLevel="0" collapsed="false">
      <c r="A128" s="69" t="s">
        <v>481</v>
      </c>
      <c r="B128" s="37" t="s">
        <v>429</v>
      </c>
      <c r="C128" s="78" t="s">
        <v>476</v>
      </c>
      <c r="D128" s="71" t="str">
        <f aca="false">IF(ISNUMBER(SEARCH($A128,Classify!$C$8)),$A128&amp;"; ","")</f>
        <v/>
      </c>
      <c r="E128" s="37" t="str">
        <f aca="false">IF($D128&lt;&gt;"",$B128&amp;"; ","")</f>
        <v/>
      </c>
      <c r="F128" s="38" t="str">
        <f aca="false">$F127&amp;$D128</f>
        <v/>
      </c>
      <c r="G128" s="38" t="str">
        <f aca="false">$G127&amp;$E128</f>
        <v/>
      </c>
    </row>
    <row r="129" customFormat="false" ht="15" hidden="false" customHeight="false" outlineLevel="0" collapsed="false">
      <c r="A129" s="69" t="s">
        <v>482</v>
      </c>
      <c r="B129" s="37" t="s">
        <v>429</v>
      </c>
      <c r="C129" s="78" t="s">
        <v>476</v>
      </c>
      <c r="D129" s="71" t="str">
        <f aca="false">IF(ISNUMBER(SEARCH($A129,Classify!$C$8)),$A129&amp;"; ","")</f>
        <v/>
      </c>
      <c r="E129" s="37" t="str">
        <f aca="false">IF($D129&lt;&gt;"",$B129&amp;"; ","")</f>
        <v/>
      </c>
      <c r="F129" s="38" t="str">
        <f aca="false">$F128&amp;$D129</f>
        <v/>
      </c>
      <c r="G129" s="38" t="str">
        <f aca="false">$G128&amp;$E129</f>
        <v/>
      </c>
    </row>
    <row r="130" customFormat="false" ht="15" hidden="false" customHeight="false" outlineLevel="0" collapsed="false">
      <c r="A130" s="69" t="s">
        <v>483</v>
      </c>
      <c r="B130" s="37" t="s">
        <v>484</v>
      </c>
      <c r="C130" s="78" t="s">
        <v>476</v>
      </c>
      <c r="D130" s="71" t="str">
        <f aca="false">IF(ISNUMBER(SEARCH($A130,Classify!$C$8)),$A130&amp;"; ","")</f>
        <v/>
      </c>
      <c r="E130" s="37" t="str">
        <f aca="false">IF($D130&lt;&gt;"",$B130&amp;"; ","")</f>
        <v/>
      </c>
      <c r="F130" s="38" t="str">
        <f aca="false">$F129&amp;$D130</f>
        <v/>
      </c>
      <c r="G130" s="38" t="str">
        <f aca="false">$G129&amp;$E130</f>
        <v/>
      </c>
    </row>
    <row r="131" customFormat="false" ht="15" hidden="false" customHeight="false" outlineLevel="0" collapsed="false">
      <c r="A131" s="69" t="s">
        <v>485</v>
      </c>
      <c r="B131" s="37" t="s">
        <v>484</v>
      </c>
      <c r="C131" s="78" t="s">
        <v>476</v>
      </c>
      <c r="D131" s="71" t="str">
        <f aca="false">IF(ISNUMBER(SEARCH($A131,Classify!$C$8)),$A131&amp;"; ","")</f>
        <v/>
      </c>
      <c r="E131" s="37" t="str">
        <f aca="false">IF($D131&lt;&gt;"",$B131&amp;"; ","")</f>
        <v/>
      </c>
      <c r="F131" s="38" t="str">
        <f aca="false">$F130&amp;$D131</f>
        <v/>
      </c>
      <c r="G131" s="38" t="str">
        <f aca="false">$G130&amp;$E131</f>
        <v/>
      </c>
    </row>
    <row r="132" customFormat="false" ht="15" hidden="false" customHeight="false" outlineLevel="0" collapsed="false">
      <c r="A132" s="69" t="s">
        <v>486</v>
      </c>
      <c r="B132" s="37" t="s">
        <v>487</v>
      </c>
      <c r="C132" s="78" t="s">
        <v>476</v>
      </c>
      <c r="D132" s="71" t="str">
        <f aca="false">IF(ISNUMBER(SEARCH($A132,Classify!$C$8)),$A132&amp;"; ","")</f>
        <v/>
      </c>
      <c r="E132" s="37" t="str">
        <f aca="false">IF($D132&lt;&gt;"",$B132&amp;"; ","")</f>
        <v/>
      </c>
      <c r="F132" s="38" t="str">
        <f aca="false">$F131&amp;$D132</f>
        <v/>
      </c>
      <c r="G132" s="38" t="str">
        <f aca="false">$G131&amp;$E132</f>
        <v/>
      </c>
    </row>
    <row r="133" customFormat="false" ht="15" hidden="false" customHeight="false" outlineLevel="0" collapsed="false">
      <c r="A133" s="69" t="s">
        <v>488</v>
      </c>
      <c r="B133" s="37" t="s">
        <v>489</v>
      </c>
      <c r="C133" s="78" t="s">
        <v>476</v>
      </c>
      <c r="D133" s="71" t="str">
        <f aca="false">IF(ISNUMBER(SEARCH($A133,Classify!$C$8)),$A133&amp;"; ","")</f>
        <v/>
      </c>
      <c r="E133" s="37" t="str">
        <f aca="false">IF($D133&lt;&gt;"",$B133&amp;"; ","")</f>
        <v/>
      </c>
      <c r="F133" s="38" t="str">
        <f aca="false">$F132&amp;$D133</f>
        <v/>
      </c>
      <c r="G133" s="38" t="str">
        <f aca="false">$G132&amp;$E133</f>
        <v/>
      </c>
    </row>
    <row r="134" customFormat="false" ht="15" hidden="false" customHeight="false" outlineLevel="0" collapsed="false">
      <c r="A134" s="69" t="s">
        <v>490</v>
      </c>
      <c r="B134" s="37" t="s">
        <v>491</v>
      </c>
      <c r="C134" s="78" t="s">
        <v>476</v>
      </c>
      <c r="D134" s="71" t="str">
        <f aca="false">IF(ISNUMBER(SEARCH($A134,Classify!$C$8)),$A134&amp;"; ","")</f>
        <v/>
      </c>
      <c r="E134" s="37" t="str">
        <f aca="false">IF($D134&lt;&gt;"",$B134&amp;"; ","")</f>
        <v/>
      </c>
      <c r="F134" s="38" t="str">
        <f aca="false">$F133&amp;$D134</f>
        <v/>
      </c>
      <c r="G134" s="38" t="str">
        <f aca="false">$G133&amp;$E134</f>
        <v/>
      </c>
    </row>
    <row r="135" customFormat="false" ht="15" hidden="false" customHeight="false" outlineLevel="0" collapsed="false">
      <c r="A135" s="69" t="s">
        <v>492</v>
      </c>
      <c r="B135" s="37" t="s">
        <v>493</v>
      </c>
      <c r="C135" s="78" t="s">
        <v>476</v>
      </c>
      <c r="D135" s="71" t="str">
        <f aca="false">IF(ISNUMBER(SEARCH($A135,Classify!$C$8)),$A135&amp;"; ","")</f>
        <v/>
      </c>
      <c r="E135" s="37" t="str">
        <f aca="false">IF($D135&lt;&gt;"",$B135&amp;"; ","")</f>
        <v/>
      </c>
      <c r="F135" s="38" t="str">
        <f aca="false">$F134&amp;$D135</f>
        <v/>
      </c>
      <c r="G135" s="38" t="str">
        <f aca="false">$G134&amp;$E135</f>
        <v/>
      </c>
    </row>
    <row r="136" customFormat="false" ht="15" hidden="false" customHeight="false" outlineLevel="0" collapsed="false">
      <c r="A136" s="69" t="s">
        <v>494</v>
      </c>
      <c r="B136" s="37" t="s">
        <v>493</v>
      </c>
      <c r="C136" s="78" t="s">
        <v>476</v>
      </c>
      <c r="D136" s="71" t="str">
        <f aca="false">IF(ISNUMBER(SEARCH($A136,Classify!$C$8)),$A136&amp;"; ","")</f>
        <v/>
      </c>
      <c r="E136" s="37" t="str">
        <f aca="false">IF($D136&lt;&gt;"",$B136&amp;"; ","")</f>
        <v/>
      </c>
      <c r="F136" s="38" t="str">
        <f aca="false">$F135&amp;$D136</f>
        <v/>
      </c>
      <c r="G136" s="38" t="str">
        <f aca="false">$G135&amp;$E136</f>
        <v/>
      </c>
    </row>
    <row r="138" customFormat="false" ht="30" hidden="false" customHeight="true" outlineLevel="0" collapsed="false">
      <c r="A138" s="2" t="s">
        <v>495</v>
      </c>
      <c r="B138" s="2"/>
      <c r="C138" s="2"/>
      <c r="D138" s="2"/>
      <c r="E138" s="2"/>
    </row>
    <row r="139" customFormat="false" ht="15" hidden="false" customHeight="false" outlineLevel="0" collapsed="false">
      <c r="C139" s="67" t="s">
        <v>303</v>
      </c>
    </row>
    <row r="140" customFormat="false" ht="15" hidden="false" customHeight="false" outlineLevel="0" collapsed="false">
      <c r="C140" s="65" t="s">
        <v>355</v>
      </c>
    </row>
    <row r="141" customFormat="false" ht="15" hidden="false" customHeight="false" outlineLevel="0" collapsed="false">
      <c r="C141" s="62" t="s">
        <v>362</v>
      </c>
    </row>
    <row r="142" customFormat="false" ht="15" hidden="false" customHeight="false" outlineLevel="0" collapsed="false">
      <c r="C142" s="63" t="s">
        <v>395</v>
      </c>
    </row>
    <row r="143" customFormat="false" ht="15" hidden="false" customHeight="false" outlineLevel="0" collapsed="false">
      <c r="C143" s="79" t="s">
        <v>404</v>
      </c>
    </row>
    <row r="144" customFormat="false" ht="15" hidden="false" customHeight="false" outlineLevel="0" collapsed="false">
      <c r="C144" s="64" t="s">
        <v>412</v>
      </c>
    </row>
    <row r="145" customFormat="false" ht="15" hidden="false" customHeight="false" outlineLevel="0" collapsed="false">
      <c r="C145" s="80" t="s">
        <v>436</v>
      </c>
    </row>
    <row r="146" customFormat="false" ht="15" hidden="false" customHeight="false" outlineLevel="0" collapsed="false">
      <c r="C146" s="66" t="s">
        <v>476</v>
      </c>
    </row>
  </sheetData>
  <autoFilter ref="A1:G136"/>
  <mergeCells count="1">
    <mergeCell ref="A138:E1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8"/>
    <col collapsed="false" customWidth="true" hidden="false" outlineLevel="0" max="3" min="3" style="0" width="13"/>
    <col collapsed="false" customWidth="true" hidden="false" outlineLevel="0" max="4" min="4" style="0" width="14"/>
    <col collapsed="false" customWidth="true" hidden="false" outlineLevel="0" max="7" min="5" style="0" width="60"/>
    <col collapsed="false" customWidth="true" hidden="false" outlineLevel="0" max="8" min="8" style="0" width="34"/>
    <col collapsed="false" customWidth="true" hidden="false" outlineLevel="0" max="9" min="9" style="0" width="18"/>
  </cols>
  <sheetData>
    <row r="1" customFormat="false" ht="30" hidden="false" customHeight="true" outlineLevel="0" collapsed="false">
      <c r="A1" s="35" t="s">
        <v>496</v>
      </c>
      <c r="B1" s="35" t="s">
        <v>497</v>
      </c>
      <c r="C1" s="35" t="s">
        <v>498</v>
      </c>
      <c r="D1" s="35" t="s">
        <v>499</v>
      </c>
      <c r="E1" s="35" t="s">
        <v>500</v>
      </c>
      <c r="F1" s="35" t="s">
        <v>501</v>
      </c>
      <c r="G1" s="35" t="s">
        <v>502</v>
      </c>
      <c r="H1" s="35" t="s">
        <v>503</v>
      </c>
      <c r="I1" s="35" t="s">
        <v>504</v>
      </c>
    </row>
    <row r="2" customFormat="false" ht="120" hidden="false" customHeight="true" outlineLevel="0" collapsed="false">
      <c r="A2" s="81" t="n">
        <v>1</v>
      </c>
      <c r="B2" s="37" t="s">
        <v>505</v>
      </c>
      <c r="C2" s="81" t="s">
        <v>506</v>
      </c>
      <c r="D2" s="7" t="s">
        <v>507</v>
      </c>
      <c r="E2" s="37" t="s">
        <v>508</v>
      </c>
      <c r="F2" s="37" t="s">
        <v>509</v>
      </c>
      <c r="G2" s="37" t="s">
        <v>510</v>
      </c>
      <c r="H2" s="37" t="s">
        <v>511</v>
      </c>
      <c r="I2" s="37" t="s">
        <v>512</v>
      </c>
    </row>
    <row r="3" customFormat="false" ht="120" hidden="false" customHeight="true" outlineLevel="0" collapsed="false">
      <c r="A3" s="81" t="n">
        <v>2</v>
      </c>
      <c r="B3" s="37" t="s">
        <v>513</v>
      </c>
      <c r="C3" s="81" t="s">
        <v>514</v>
      </c>
      <c r="D3" s="7" t="s">
        <v>507</v>
      </c>
      <c r="E3" s="37" t="s">
        <v>515</v>
      </c>
      <c r="F3" s="37" t="s">
        <v>516</v>
      </c>
      <c r="G3" s="37" t="s">
        <v>517</v>
      </c>
      <c r="H3" s="37" t="s">
        <v>518</v>
      </c>
      <c r="I3" s="37" t="s">
        <v>512</v>
      </c>
    </row>
    <row r="4" customFormat="false" ht="120" hidden="false" customHeight="true" outlineLevel="0" collapsed="false">
      <c r="A4" s="81" t="n">
        <v>3</v>
      </c>
      <c r="B4" s="37" t="s">
        <v>519</v>
      </c>
      <c r="C4" s="81" t="s">
        <v>520</v>
      </c>
      <c r="D4" s="7" t="s">
        <v>507</v>
      </c>
      <c r="E4" s="37" t="s">
        <v>515</v>
      </c>
      <c r="F4" s="37" t="s">
        <v>521</v>
      </c>
      <c r="G4" s="37" t="s">
        <v>510</v>
      </c>
      <c r="H4" s="37" t="s">
        <v>522</v>
      </c>
      <c r="I4" s="37" t="s">
        <v>512</v>
      </c>
    </row>
    <row r="5" customFormat="false" ht="120" hidden="false" customHeight="true" outlineLevel="0" collapsed="false">
      <c r="A5" s="81" t="n">
        <v>4</v>
      </c>
      <c r="B5" s="37" t="s">
        <v>523</v>
      </c>
      <c r="C5" s="81" t="s">
        <v>524</v>
      </c>
      <c r="D5" s="6" t="s">
        <v>525</v>
      </c>
      <c r="E5" s="37" t="s">
        <v>526</v>
      </c>
      <c r="F5" s="37" t="s">
        <v>527</v>
      </c>
      <c r="G5" s="37" t="s">
        <v>528</v>
      </c>
      <c r="H5" s="37" t="s">
        <v>529</v>
      </c>
      <c r="I5" s="37" t="s">
        <v>512</v>
      </c>
    </row>
    <row r="6" customFormat="false" ht="120" hidden="false" customHeight="true" outlineLevel="0" collapsed="false">
      <c r="A6" s="81" t="n">
        <v>5</v>
      </c>
      <c r="B6" s="37" t="s">
        <v>530</v>
      </c>
      <c r="C6" s="81" t="s">
        <v>520</v>
      </c>
      <c r="D6" s="7" t="s">
        <v>507</v>
      </c>
      <c r="E6" s="37" t="s">
        <v>515</v>
      </c>
      <c r="F6" s="37" t="s">
        <v>531</v>
      </c>
      <c r="G6" s="37" t="s">
        <v>510</v>
      </c>
      <c r="H6" s="37" t="s">
        <v>532</v>
      </c>
      <c r="I6" s="37" t="s">
        <v>533</v>
      </c>
    </row>
    <row r="7" customFormat="false" ht="120" hidden="false" customHeight="true" outlineLevel="0" collapsed="false">
      <c r="A7" s="81" t="n">
        <v>6</v>
      </c>
      <c r="B7" s="37" t="s">
        <v>534</v>
      </c>
      <c r="C7" s="81" t="s">
        <v>520</v>
      </c>
      <c r="D7" s="7" t="s">
        <v>507</v>
      </c>
      <c r="E7" s="37" t="s">
        <v>515</v>
      </c>
      <c r="F7" s="37" t="s">
        <v>535</v>
      </c>
      <c r="G7" s="37" t="s">
        <v>510</v>
      </c>
      <c r="H7" s="37" t="s">
        <v>536</v>
      </c>
      <c r="I7" s="37" t="s">
        <v>512</v>
      </c>
    </row>
    <row r="8" customFormat="false" ht="120" hidden="false" customHeight="true" outlineLevel="0" collapsed="false">
      <c r="A8" s="81" t="n">
        <v>7</v>
      </c>
      <c r="B8" s="37" t="s">
        <v>537</v>
      </c>
      <c r="C8" s="81" t="s">
        <v>538</v>
      </c>
      <c r="D8" s="5" t="s">
        <v>539</v>
      </c>
      <c r="E8" s="37" t="s">
        <v>510</v>
      </c>
      <c r="F8" s="37" t="s">
        <v>510</v>
      </c>
      <c r="G8" s="37" t="s">
        <v>540</v>
      </c>
      <c r="H8" s="37" t="s">
        <v>541</v>
      </c>
      <c r="I8" s="37" t="s">
        <v>542</v>
      </c>
    </row>
    <row r="9" customFormat="false" ht="120" hidden="false" customHeight="true" outlineLevel="0" collapsed="false">
      <c r="A9" s="81" t="n">
        <v>8</v>
      </c>
      <c r="B9" s="37" t="s">
        <v>543</v>
      </c>
      <c r="C9" s="81" t="s">
        <v>538</v>
      </c>
      <c r="D9" s="5" t="s">
        <v>539</v>
      </c>
      <c r="E9" s="37" t="s">
        <v>510</v>
      </c>
      <c r="F9" s="37" t="s">
        <v>510</v>
      </c>
      <c r="G9" s="37" t="s">
        <v>544</v>
      </c>
      <c r="H9" s="37" t="s">
        <v>545</v>
      </c>
      <c r="I9" s="37" t="s">
        <v>542</v>
      </c>
    </row>
    <row r="10" customFormat="false" ht="120" hidden="false" customHeight="true" outlineLevel="0" collapsed="false">
      <c r="A10" s="81" t="n">
        <v>9</v>
      </c>
      <c r="B10" s="37" t="s">
        <v>546</v>
      </c>
      <c r="C10" s="81" t="s">
        <v>538</v>
      </c>
      <c r="D10" s="5" t="s">
        <v>539</v>
      </c>
      <c r="E10" s="37" t="s">
        <v>510</v>
      </c>
      <c r="F10" s="37" t="s">
        <v>510</v>
      </c>
      <c r="G10" s="37" t="s">
        <v>547</v>
      </c>
      <c r="H10" s="37" t="s">
        <v>548</v>
      </c>
      <c r="I10" s="37" t="s">
        <v>542</v>
      </c>
    </row>
    <row r="11" customFormat="false" ht="120" hidden="false" customHeight="true" outlineLevel="0" collapsed="false">
      <c r="A11" s="81" t="n">
        <v>10</v>
      </c>
      <c r="B11" s="37" t="s">
        <v>549</v>
      </c>
      <c r="C11" s="81" t="s">
        <v>538</v>
      </c>
      <c r="D11" s="5" t="s">
        <v>539</v>
      </c>
      <c r="E11" s="37" t="s">
        <v>510</v>
      </c>
      <c r="F11" s="37" t="s">
        <v>510</v>
      </c>
      <c r="G11" s="37" t="s">
        <v>550</v>
      </c>
      <c r="H11" s="37" t="s">
        <v>551</v>
      </c>
      <c r="I11" s="37" t="s">
        <v>542</v>
      </c>
    </row>
    <row r="12" customFormat="false" ht="120" hidden="false" customHeight="true" outlineLevel="0" collapsed="false">
      <c r="A12" s="81" t="n">
        <v>11</v>
      </c>
      <c r="B12" s="37" t="s">
        <v>552</v>
      </c>
      <c r="C12" s="81" t="s">
        <v>524</v>
      </c>
      <c r="D12" s="6" t="s">
        <v>525</v>
      </c>
      <c r="E12" s="37" t="s">
        <v>553</v>
      </c>
      <c r="F12" s="37" t="s">
        <v>527</v>
      </c>
      <c r="G12" s="37" t="s">
        <v>554</v>
      </c>
      <c r="H12" s="37" t="s">
        <v>555</v>
      </c>
      <c r="I12" s="37" t="s">
        <v>512</v>
      </c>
    </row>
    <row r="13" customFormat="false" ht="120" hidden="false" customHeight="true" outlineLevel="0" collapsed="false">
      <c r="A13" s="81" t="n">
        <v>12</v>
      </c>
      <c r="B13" s="37" t="s">
        <v>556</v>
      </c>
      <c r="C13" s="81" t="s">
        <v>538</v>
      </c>
      <c r="D13" s="5" t="s">
        <v>539</v>
      </c>
      <c r="E13" s="37" t="s">
        <v>510</v>
      </c>
      <c r="F13" s="37" t="s">
        <v>510</v>
      </c>
      <c r="G13" s="37" t="s">
        <v>557</v>
      </c>
      <c r="H13" s="37" t="s">
        <v>558</v>
      </c>
      <c r="I13" s="37" t="s">
        <v>533</v>
      </c>
    </row>
    <row r="14" customFormat="false" ht="120" hidden="false" customHeight="true" outlineLevel="0" collapsed="false">
      <c r="A14" s="81" t="n">
        <v>13</v>
      </c>
      <c r="B14" s="37" t="s">
        <v>559</v>
      </c>
      <c r="C14" s="81" t="s">
        <v>538</v>
      </c>
      <c r="D14" s="5" t="s">
        <v>539</v>
      </c>
      <c r="E14" s="37" t="s">
        <v>510</v>
      </c>
      <c r="F14" s="37" t="s">
        <v>510</v>
      </c>
      <c r="G14" s="37" t="s">
        <v>560</v>
      </c>
      <c r="H14" s="37" t="s">
        <v>561</v>
      </c>
      <c r="I14" s="37" t="s">
        <v>562</v>
      </c>
    </row>
    <row r="15" customFormat="false" ht="120" hidden="false" customHeight="true" outlineLevel="0" collapsed="false">
      <c r="A15" s="81" t="n">
        <v>14</v>
      </c>
      <c r="B15" s="37" t="s">
        <v>563</v>
      </c>
      <c r="C15" s="81" t="s">
        <v>520</v>
      </c>
      <c r="D15" s="7" t="s">
        <v>507</v>
      </c>
      <c r="E15" s="37" t="s">
        <v>515</v>
      </c>
      <c r="F15" s="37" t="s">
        <v>564</v>
      </c>
      <c r="G15" s="37" t="s">
        <v>510</v>
      </c>
      <c r="H15" s="37" t="s">
        <v>565</v>
      </c>
      <c r="I15" s="37" t="s">
        <v>512</v>
      </c>
    </row>
    <row r="16" customFormat="false" ht="120" hidden="false" customHeight="true" outlineLevel="0" collapsed="false">
      <c r="A16" s="81" t="n">
        <v>15</v>
      </c>
      <c r="B16" s="37" t="s">
        <v>566</v>
      </c>
      <c r="C16" s="81" t="s">
        <v>520</v>
      </c>
      <c r="D16" s="7" t="s">
        <v>507</v>
      </c>
      <c r="E16" s="37" t="s">
        <v>515</v>
      </c>
      <c r="F16" s="37" t="s">
        <v>567</v>
      </c>
      <c r="G16" s="37" t="s">
        <v>510</v>
      </c>
      <c r="H16" s="37" t="s">
        <v>568</v>
      </c>
      <c r="I16" s="37" t="s">
        <v>512</v>
      </c>
    </row>
    <row r="17" customFormat="false" ht="120" hidden="false" customHeight="true" outlineLevel="0" collapsed="false">
      <c r="A17" s="81" t="n">
        <v>16</v>
      </c>
      <c r="B17" s="37" t="s">
        <v>569</v>
      </c>
      <c r="C17" s="81" t="s">
        <v>506</v>
      </c>
      <c r="D17" s="7" t="s">
        <v>507</v>
      </c>
      <c r="E17" s="37" t="s">
        <v>570</v>
      </c>
      <c r="F17" s="37" t="s">
        <v>571</v>
      </c>
      <c r="G17" s="37" t="s">
        <v>510</v>
      </c>
      <c r="H17" s="37" t="s">
        <v>511</v>
      </c>
      <c r="I17" s="37" t="s">
        <v>512</v>
      </c>
    </row>
    <row r="19" customFormat="false" ht="15" hidden="false" customHeight="true" outlineLevel="0" collapsed="false">
      <c r="B19" s="82" t="s">
        <v>498</v>
      </c>
      <c r="C19" s="83" t="s">
        <v>572</v>
      </c>
      <c r="D19" s="83"/>
      <c r="E19" s="83"/>
      <c r="F19" s="83"/>
      <c r="G19" s="83"/>
    </row>
    <row r="20" customFormat="false" ht="15" hidden="false" customHeight="true" outlineLevel="0" collapsed="false">
      <c r="B20" s="84" t="s">
        <v>506</v>
      </c>
      <c r="C20" s="22" t="s">
        <v>573</v>
      </c>
      <c r="D20" s="22"/>
      <c r="E20" s="22"/>
      <c r="F20" s="22"/>
      <c r="G20" s="22"/>
    </row>
    <row r="21" customFormat="false" ht="15" hidden="false" customHeight="true" outlineLevel="0" collapsed="false">
      <c r="B21" s="84" t="s">
        <v>524</v>
      </c>
      <c r="C21" s="22" t="s">
        <v>574</v>
      </c>
      <c r="D21" s="22"/>
      <c r="E21" s="22"/>
      <c r="F21" s="22"/>
      <c r="G21" s="22"/>
    </row>
    <row r="22" customFormat="false" ht="15" hidden="false" customHeight="true" outlineLevel="0" collapsed="false">
      <c r="B22" s="84" t="s">
        <v>514</v>
      </c>
      <c r="C22" s="22" t="s">
        <v>575</v>
      </c>
      <c r="D22" s="22"/>
      <c r="E22" s="22"/>
      <c r="F22" s="22"/>
      <c r="G22" s="22"/>
    </row>
    <row r="23" customFormat="false" ht="15" hidden="false" customHeight="true" outlineLevel="0" collapsed="false">
      <c r="B23" s="84" t="s">
        <v>520</v>
      </c>
      <c r="C23" s="22" t="s">
        <v>576</v>
      </c>
      <c r="D23" s="22"/>
      <c r="E23" s="22"/>
      <c r="F23" s="22"/>
      <c r="G23" s="22"/>
    </row>
    <row r="24" customFormat="false" ht="15" hidden="false" customHeight="true" outlineLevel="0" collapsed="false">
      <c r="B24" s="84" t="s">
        <v>538</v>
      </c>
      <c r="C24" s="22" t="s">
        <v>577</v>
      </c>
      <c r="D24" s="22"/>
      <c r="E24" s="22"/>
      <c r="F24" s="22"/>
      <c r="G24" s="22"/>
    </row>
    <row r="25" customFormat="false" ht="15" hidden="false" customHeight="true" outlineLevel="0" collapsed="false">
      <c r="B25" s="84" t="s">
        <v>578</v>
      </c>
      <c r="C25" s="22" t="s">
        <v>579</v>
      </c>
      <c r="D25" s="22"/>
      <c r="E25" s="22"/>
      <c r="F25" s="22"/>
      <c r="G25" s="22"/>
    </row>
  </sheetData>
  <mergeCells count="7">
    <mergeCell ref="C19:G19"/>
    <mergeCell ref="C20:G20"/>
    <mergeCell ref="C21:G21"/>
    <mergeCell ref="C22:G22"/>
    <mergeCell ref="C23:G23"/>
    <mergeCell ref="C24:G24"/>
    <mergeCell ref="C25:G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80"/>
    <col collapsed="false" customWidth="true" hidden="false" outlineLevel="0" max="3" min="3" style="0" width="16"/>
    <col collapsed="false" customWidth="true" hidden="false" outlineLevel="0" max="4" min="4" style="0" width="60"/>
  </cols>
  <sheetData>
    <row r="1" customFormat="false" ht="33.75" hidden="false" customHeight="true" outlineLevel="0" collapsed="false">
      <c r="A1" s="85" t="s">
        <v>580</v>
      </c>
      <c r="B1" s="85"/>
      <c r="C1" s="85"/>
      <c r="D1" s="85"/>
    </row>
    <row r="2" customFormat="false" ht="30" hidden="false" customHeight="true" outlineLevel="0" collapsed="false">
      <c r="A2" s="35" t="s">
        <v>581</v>
      </c>
      <c r="B2" s="35" t="s">
        <v>582</v>
      </c>
      <c r="C2" s="35" t="s">
        <v>583</v>
      </c>
      <c r="D2" s="35" t="s">
        <v>584</v>
      </c>
    </row>
    <row r="3" customFormat="false" ht="61.5" hidden="false" customHeight="true" outlineLevel="0" collapsed="false">
      <c r="A3" s="51" t="s">
        <v>453</v>
      </c>
      <c r="B3" s="37" t="s">
        <v>585</v>
      </c>
      <c r="C3" s="6" t="s">
        <v>586</v>
      </c>
      <c r="D3" s="37" t="s">
        <v>587</v>
      </c>
    </row>
    <row r="4" customFormat="false" ht="61.5" hidden="false" customHeight="true" outlineLevel="0" collapsed="false">
      <c r="A4" s="51" t="s">
        <v>451</v>
      </c>
      <c r="B4" s="37" t="s">
        <v>588</v>
      </c>
      <c r="C4" s="6" t="s">
        <v>586</v>
      </c>
      <c r="D4" s="37" t="s">
        <v>589</v>
      </c>
    </row>
    <row r="5" customFormat="false" ht="61.5" hidden="false" customHeight="true" outlineLevel="0" collapsed="false">
      <c r="A5" s="51" t="s">
        <v>447</v>
      </c>
      <c r="B5" s="37" t="s">
        <v>590</v>
      </c>
      <c r="C5" s="6" t="s">
        <v>586</v>
      </c>
      <c r="D5" s="37" t="s">
        <v>591</v>
      </c>
    </row>
    <row r="6" customFormat="false" ht="61.5" hidden="false" customHeight="true" outlineLevel="0" collapsed="false">
      <c r="A6" s="51" t="s">
        <v>440</v>
      </c>
      <c r="B6" s="37" t="s">
        <v>592</v>
      </c>
      <c r="C6" s="7" t="s">
        <v>593</v>
      </c>
      <c r="D6" s="37" t="s">
        <v>594</v>
      </c>
    </row>
    <row r="7" customFormat="false" ht="61.5" hidden="false" customHeight="true" outlineLevel="0" collapsed="false">
      <c r="A7" s="51" t="s">
        <v>435</v>
      </c>
      <c r="B7" s="37" t="s">
        <v>595</v>
      </c>
      <c r="C7" s="5" t="s">
        <v>596</v>
      </c>
      <c r="D7" s="37" t="s">
        <v>597</v>
      </c>
    </row>
    <row r="8" customFormat="false" ht="61.5" hidden="false" customHeight="true" outlineLevel="0" collapsed="false">
      <c r="A8" s="51" t="s">
        <v>487</v>
      </c>
      <c r="B8" s="37" t="s">
        <v>598</v>
      </c>
      <c r="C8" s="6" t="s">
        <v>586</v>
      </c>
      <c r="D8" s="37" t="s">
        <v>599</v>
      </c>
    </row>
    <row r="9" customFormat="false" ht="61.5" hidden="false" customHeight="true" outlineLevel="0" collapsed="false">
      <c r="A9" s="51" t="s">
        <v>600</v>
      </c>
      <c r="B9" s="37" t="s">
        <v>601</v>
      </c>
      <c r="C9" s="6" t="s">
        <v>586</v>
      </c>
      <c r="D9" s="37" t="s">
        <v>602</v>
      </c>
    </row>
    <row r="10" customFormat="false" ht="61.5" hidden="false" customHeight="true" outlineLevel="0" collapsed="false">
      <c r="A10" s="51" t="s">
        <v>603</v>
      </c>
      <c r="B10" s="37" t="s">
        <v>604</v>
      </c>
      <c r="C10" s="6" t="s">
        <v>586</v>
      </c>
      <c r="D10" s="37" t="s">
        <v>605</v>
      </c>
    </row>
    <row r="11" customFormat="false" ht="61.5" hidden="false" customHeight="true" outlineLevel="0" collapsed="false">
      <c r="A11" s="51" t="s">
        <v>484</v>
      </c>
      <c r="B11" s="37" t="s">
        <v>606</v>
      </c>
      <c r="C11" s="6" t="s">
        <v>586</v>
      </c>
      <c r="D11" s="37" t="s">
        <v>607</v>
      </c>
    </row>
    <row r="12" customFormat="false" ht="61.5" hidden="false" customHeight="true" outlineLevel="0" collapsed="false">
      <c r="A12" s="51" t="s">
        <v>429</v>
      </c>
      <c r="B12" s="37" t="s">
        <v>608</v>
      </c>
      <c r="C12" s="5" t="s">
        <v>596</v>
      </c>
      <c r="D12" s="37" t="s">
        <v>609</v>
      </c>
    </row>
    <row r="13" customFormat="false" ht="61.5" hidden="false" customHeight="true" outlineLevel="0" collapsed="false">
      <c r="A13" s="51" t="s">
        <v>302</v>
      </c>
      <c r="B13" s="37" t="s">
        <v>610</v>
      </c>
      <c r="C13" s="5" t="s">
        <v>596</v>
      </c>
      <c r="D13" s="37" t="s">
        <v>611</v>
      </c>
    </row>
    <row r="14" customFormat="false" ht="61.5" hidden="false" customHeight="true" outlineLevel="0" collapsed="false">
      <c r="A14" s="51" t="s">
        <v>612</v>
      </c>
      <c r="B14" s="37" t="s">
        <v>613</v>
      </c>
      <c r="C14" s="6" t="s">
        <v>586</v>
      </c>
      <c r="D14" s="37" t="s">
        <v>602</v>
      </c>
    </row>
    <row r="15" customFormat="false" ht="61.5" hidden="false" customHeight="true" outlineLevel="0" collapsed="false">
      <c r="A15" s="51" t="s">
        <v>455</v>
      </c>
      <c r="B15" s="37" t="s">
        <v>614</v>
      </c>
      <c r="C15" s="6" t="s">
        <v>586</v>
      </c>
      <c r="D15" s="37" t="s">
        <v>615</v>
      </c>
    </row>
    <row r="16" customFormat="false" ht="61.5" hidden="false" customHeight="true" outlineLevel="0" collapsed="false">
      <c r="A16" s="51" t="s">
        <v>616</v>
      </c>
      <c r="B16" s="37" t="s">
        <v>617</v>
      </c>
      <c r="C16" s="7" t="s">
        <v>593</v>
      </c>
      <c r="D16" s="37" t="s">
        <v>618</v>
      </c>
    </row>
    <row r="17" customFormat="false" ht="61.5" hidden="false" customHeight="true" outlineLevel="0" collapsed="false">
      <c r="A17" s="51" t="s">
        <v>349</v>
      </c>
      <c r="B17" s="37" t="s">
        <v>619</v>
      </c>
      <c r="C17" s="5" t="s">
        <v>596</v>
      </c>
      <c r="D17" s="37" t="s">
        <v>620</v>
      </c>
    </row>
    <row r="18" customFormat="false" ht="61.5" hidden="false" customHeight="true" outlineLevel="0" collapsed="false">
      <c r="A18" s="51" t="s">
        <v>621</v>
      </c>
      <c r="B18" s="37" t="s">
        <v>622</v>
      </c>
      <c r="C18" s="6" t="s">
        <v>586</v>
      </c>
      <c r="D18" s="37" t="s">
        <v>623</v>
      </c>
    </row>
    <row r="19" customFormat="false" ht="61.5" hidden="false" customHeight="true" outlineLevel="0" collapsed="false">
      <c r="A19" s="51" t="s">
        <v>358</v>
      </c>
      <c r="B19" s="37" t="s">
        <v>624</v>
      </c>
      <c r="C19" s="5" t="s">
        <v>596</v>
      </c>
      <c r="D19" s="37" t="s">
        <v>625</v>
      </c>
    </row>
    <row r="20" customFormat="false" ht="61.5" hidden="false" customHeight="true" outlineLevel="0" collapsed="false">
      <c r="A20" s="51" t="s">
        <v>626</v>
      </c>
      <c r="B20" s="37" t="s">
        <v>627</v>
      </c>
      <c r="C20" s="7" t="s">
        <v>593</v>
      </c>
      <c r="D20" s="37" t="s">
        <v>628</v>
      </c>
    </row>
    <row r="21" customFormat="false" ht="61.5" hidden="false" customHeight="true" outlineLevel="0" collapsed="false">
      <c r="A21" s="51" t="s">
        <v>471</v>
      </c>
      <c r="B21" s="37" t="s">
        <v>629</v>
      </c>
      <c r="C21" s="7" t="s">
        <v>593</v>
      </c>
      <c r="D21" s="37" t="s">
        <v>630</v>
      </c>
    </row>
    <row r="22" customFormat="false" ht="61.5" hidden="false" customHeight="true" outlineLevel="0" collapsed="false">
      <c r="A22" s="51" t="s">
        <v>631</v>
      </c>
      <c r="B22" s="37" t="s">
        <v>632</v>
      </c>
      <c r="C22" s="6" t="s">
        <v>586</v>
      </c>
      <c r="D22" s="37" t="s">
        <v>633</v>
      </c>
    </row>
    <row r="23" customFormat="false" ht="61.5" hidden="false" customHeight="true" outlineLevel="0" collapsed="false">
      <c r="A23" s="51" t="s">
        <v>177</v>
      </c>
      <c r="B23" s="37" t="s">
        <v>634</v>
      </c>
      <c r="C23" s="5" t="s">
        <v>596</v>
      </c>
      <c r="D23" s="37" t="s">
        <v>635</v>
      </c>
    </row>
    <row r="24" customFormat="false" ht="61.5" hidden="false" customHeight="true" outlineLevel="0" collapsed="false">
      <c r="A24" s="51" t="s">
        <v>112</v>
      </c>
      <c r="B24" s="37" t="s">
        <v>636</v>
      </c>
      <c r="C24" s="5" t="s">
        <v>596</v>
      </c>
      <c r="D24" s="37" t="s">
        <v>637</v>
      </c>
    </row>
    <row r="26" customFormat="false" ht="39.75" hidden="false" customHeight="true" outlineLevel="0" collapsed="false">
      <c r="A26" s="2" t="s">
        <v>638</v>
      </c>
      <c r="B26" s="2"/>
      <c r="C26" s="2"/>
      <c r="D26" s="2"/>
    </row>
  </sheetData>
  <mergeCells count="2">
    <mergeCell ref="A1:D1"/>
    <mergeCell ref="A26:D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4"/>
    <col collapsed="false" customWidth="true" hidden="false" outlineLevel="0" max="4" min="3" style="0" width="60"/>
    <col collapsed="false" customWidth="true" hidden="false" outlineLevel="0" max="5" min="5" style="0" width="18"/>
  </cols>
  <sheetData>
    <row r="1" customFormat="false" ht="33.75" hidden="false" customHeight="true" outlineLevel="0" collapsed="false">
      <c r="A1" s="85" t="s">
        <v>639</v>
      </c>
      <c r="B1" s="85"/>
      <c r="C1" s="85"/>
      <c r="D1" s="85"/>
      <c r="E1" s="85"/>
    </row>
    <row r="2" customFormat="false" ht="30" hidden="false" customHeight="true" outlineLevel="0" collapsed="false">
      <c r="A2" s="35" t="s">
        <v>640</v>
      </c>
      <c r="B2" s="35" t="s">
        <v>79</v>
      </c>
      <c r="C2" s="35" t="s">
        <v>641</v>
      </c>
      <c r="D2" s="35" t="s">
        <v>642</v>
      </c>
      <c r="E2" s="35" t="s">
        <v>643</v>
      </c>
    </row>
    <row r="3" customFormat="false" ht="69.75" hidden="false" customHeight="true" outlineLevel="0" collapsed="false">
      <c r="A3" s="86" t="s">
        <v>644</v>
      </c>
      <c r="B3" s="37" t="s">
        <v>645</v>
      </c>
      <c r="C3" s="37" t="s">
        <v>646</v>
      </c>
      <c r="D3" s="37" t="s">
        <v>647</v>
      </c>
      <c r="E3" s="37" t="s">
        <v>648</v>
      </c>
    </row>
    <row r="4" customFormat="false" ht="69.75" hidden="false" customHeight="true" outlineLevel="0" collapsed="false">
      <c r="A4" s="86" t="s">
        <v>649</v>
      </c>
      <c r="B4" s="37" t="s">
        <v>650</v>
      </c>
      <c r="C4" s="37" t="s">
        <v>651</v>
      </c>
      <c r="D4" s="37" t="s">
        <v>652</v>
      </c>
      <c r="E4" s="37" t="s">
        <v>648</v>
      </c>
    </row>
    <row r="5" customFormat="false" ht="69.75" hidden="false" customHeight="true" outlineLevel="0" collapsed="false">
      <c r="A5" s="86" t="s">
        <v>653</v>
      </c>
      <c r="B5" s="37" t="s">
        <v>654</v>
      </c>
      <c r="C5" s="37" t="s">
        <v>655</v>
      </c>
      <c r="D5" s="37" t="s">
        <v>656</v>
      </c>
      <c r="E5" s="37" t="s">
        <v>648</v>
      </c>
    </row>
    <row r="6" customFormat="false" ht="69.75" hidden="false" customHeight="true" outlineLevel="0" collapsed="false">
      <c r="A6" s="87" t="s">
        <v>657</v>
      </c>
      <c r="B6" s="37" t="s">
        <v>658</v>
      </c>
      <c r="C6" s="37" t="s">
        <v>659</v>
      </c>
      <c r="D6" s="37" t="s">
        <v>660</v>
      </c>
      <c r="E6" s="37" t="s">
        <v>648</v>
      </c>
    </row>
    <row r="7" customFormat="false" ht="69.75" hidden="false" customHeight="true" outlineLevel="0" collapsed="false">
      <c r="A7" s="86" t="s">
        <v>661</v>
      </c>
      <c r="B7" s="37" t="s">
        <v>662</v>
      </c>
      <c r="C7" s="37" t="s">
        <v>663</v>
      </c>
      <c r="D7" s="37" t="s">
        <v>664</v>
      </c>
      <c r="E7" s="37" t="s">
        <v>648</v>
      </c>
    </row>
    <row r="8" customFormat="false" ht="69.75" hidden="false" customHeight="true" outlineLevel="0" collapsed="false">
      <c r="A8" s="87" t="s">
        <v>665</v>
      </c>
      <c r="B8" s="37" t="s">
        <v>666</v>
      </c>
      <c r="C8" s="37" t="s">
        <v>667</v>
      </c>
      <c r="D8" s="37" t="s">
        <v>668</v>
      </c>
      <c r="E8" s="37" t="s">
        <v>648</v>
      </c>
    </row>
    <row r="9" customFormat="false" ht="69.75" hidden="false" customHeight="true" outlineLevel="0" collapsed="false">
      <c r="A9" s="87" t="s">
        <v>669</v>
      </c>
      <c r="B9" s="37" t="s">
        <v>670</v>
      </c>
      <c r="C9" s="37" t="s">
        <v>671</v>
      </c>
      <c r="D9" s="37" t="s">
        <v>672</v>
      </c>
      <c r="E9" s="37" t="s">
        <v>648</v>
      </c>
    </row>
    <row r="10" customFormat="false" ht="69.75" hidden="false" customHeight="true" outlineLevel="0" collapsed="false">
      <c r="A10" s="87" t="s">
        <v>673</v>
      </c>
      <c r="B10" s="37" t="s">
        <v>674</v>
      </c>
      <c r="C10" s="37" t="s">
        <v>675</v>
      </c>
      <c r="D10" s="37" t="s">
        <v>676</v>
      </c>
      <c r="E10" s="37" t="s">
        <v>648</v>
      </c>
    </row>
    <row r="11" customFormat="false" ht="69.75" hidden="false" customHeight="true" outlineLevel="0" collapsed="false">
      <c r="A11" s="87" t="s">
        <v>677</v>
      </c>
      <c r="B11" s="37" t="s">
        <v>678</v>
      </c>
      <c r="C11" s="37" t="s">
        <v>679</v>
      </c>
      <c r="D11" s="37" t="s">
        <v>680</v>
      </c>
      <c r="E11" s="37" t="s">
        <v>648</v>
      </c>
    </row>
    <row r="12" customFormat="false" ht="69.75" hidden="false" customHeight="true" outlineLevel="0" collapsed="false">
      <c r="A12" s="86" t="s">
        <v>681</v>
      </c>
      <c r="B12" s="37" t="s">
        <v>682</v>
      </c>
      <c r="C12" s="37" t="s">
        <v>683</v>
      </c>
      <c r="D12" s="37" t="s">
        <v>684</v>
      </c>
      <c r="E12" s="37" t="s">
        <v>648</v>
      </c>
    </row>
    <row r="13" customFormat="false" ht="69.75" hidden="false" customHeight="true" outlineLevel="0" collapsed="false">
      <c r="A13" s="86" t="s">
        <v>685</v>
      </c>
      <c r="B13" s="37" t="s">
        <v>686</v>
      </c>
      <c r="C13" s="37" t="s">
        <v>687</v>
      </c>
      <c r="D13" s="37" t="s">
        <v>688</v>
      </c>
      <c r="E13" s="37" t="s">
        <v>648</v>
      </c>
    </row>
    <row r="14" customFormat="false" ht="69.75" hidden="false" customHeight="true" outlineLevel="0" collapsed="false">
      <c r="A14" s="88" t="s">
        <v>689</v>
      </c>
      <c r="B14" s="37" t="s">
        <v>690</v>
      </c>
      <c r="C14" s="37" t="s">
        <v>691</v>
      </c>
      <c r="D14" s="37" t="s">
        <v>692</v>
      </c>
      <c r="E14" s="37" t="s">
        <v>646</v>
      </c>
    </row>
    <row r="15" customFormat="false" ht="69.75" hidden="false" customHeight="true" outlineLevel="0" collapsed="false">
      <c r="A15" s="88" t="s">
        <v>693</v>
      </c>
      <c r="B15" s="37" t="s">
        <v>694</v>
      </c>
      <c r="C15" s="37" t="s">
        <v>646</v>
      </c>
      <c r="D15" s="37" t="s">
        <v>695</v>
      </c>
      <c r="E15" s="37" t="s">
        <v>696</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fals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60"/>
    <col collapsed="false" customWidth="true" hidden="false" outlineLevel="0" max="4" min="4" style="0" width="40"/>
  </cols>
  <sheetData>
    <row r="1" customFormat="false" ht="30" hidden="false" customHeight="true" outlineLevel="0" collapsed="false">
      <c r="A1" s="89" t="s">
        <v>697</v>
      </c>
      <c r="B1" s="89"/>
      <c r="C1" s="89"/>
      <c r="D1" s="89"/>
    </row>
    <row r="2" customFormat="false" ht="30" hidden="false" customHeight="true" outlineLevel="0" collapsed="false">
      <c r="A2" s="35" t="s">
        <v>698</v>
      </c>
      <c r="B2" s="35" t="s">
        <v>699</v>
      </c>
      <c r="C2" s="35" t="s">
        <v>700</v>
      </c>
      <c r="D2" s="35" t="s">
        <v>701</v>
      </c>
    </row>
    <row r="3" customFormat="false" ht="78" hidden="false" customHeight="true" outlineLevel="0" collapsed="false">
      <c r="A3" s="90" t="s">
        <v>702</v>
      </c>
      <c r="B3" s="37" t="s">
        <v>703</v>
      </c>
      <c r="C3" s="37" t="s">
        <v>704</v>
      </c>
      <c r="D3" s="37" t="s">
        <v>705</v>
      </c>
    </row>
    <row r="4" customFormat="false" ht="78" hidden="false" customHeight="true" outlineLevel="0" collapsed="false">
      <c r="A4" s="90" t="s">
        <v>706</v>
      </c>
      <c r="B4" s="37" t="s">
        <v>707</v>
      </c>
      <c r="C4" s="37" t="s">
        <v>708</v>
      </c>
      <c r="D4" s="37" t="s">
        <v>709</v>
      </c>
    </row>
    <row r="5" customFormat="false" ht="78" hidden="false" customHeight="true" outlineLevel="0" collapsed="false">
      <c r="A5" s="86" t="s">
        <v>710</v>
      </c>
      <c r="B5" s="37" t="s">
        <v>711</v>
      </c>
      <c r="C5" s="37" t="s">
        <v>712</v>
      </c>
      <c r="D5" s="37" t="s">
        <v>713</v>
      </c>
    </row>
    <row r="6" customFormat="false" ht="78" hidden="false" customHeight="true" outlineLevel="0" collapsed="false">
      <c r="A6" s="86" t="s">
        <v>714</v>
      </c>
      <c r="B6" s="37" t="s">
        <v>715</v>
      </c>
      <c r="C6" s="37" t="s">
        <v>716</v>
      </c>
      <c r="D6" s="37" t="s">
        <v>713</v>
      </c>
    </row>
    <row r="7" customFormat="false" ht="78" hidden="false" customHeight="true" outlineLevel="0" collapsed="false">
      <c r="A7" s="86" t="s">
        <v>717</v>
      </c>
      <c r="B7" s="37" t="s">
        <v>718</v>
      </c>
      <c r="C7" s="37" t="s">
        <v>719</v>
      </c>
      <c r="D7" s="37" t="s">
        <v>720</v>
      </c>
    </row>
    <row r="8" customFormat="false" ht="78" hidden="false" customHeight="true" outlineLevel="0" collapsed="false">
      <c r="A8" s="86" t="s">
        <v>721</v>
      </c>
      <c r="B8" s="37" t="s">
        <v>722</v>
      </c>
      <c r="C8" s="37" t="s">
        <v>723</v>
      </c>
      <c r="D8" s="37" t="s">
        <v>713</v>
      </c>
    </row>
    <row r="9" customFormat="false" ht="78" hidden="false" customHeight="true" outlineLevel="0" collapsed="false">
      <c r="A9" s="86" t="s">
        <v>724</v>
      </c>
      <c r="B9" s="37" t="s">
        <v>725</v>
      </c>
      <c r="C9" s="37" t="s">
        <v>726</v>
      </c>
      <c r="D9" s="37" t="s">
        <v>713</v>
      </c>
    </row>
    <row r="10" customFormat="false" ht="78" hidden="false" customHeight="true" outlineLevel="0" collapsed="false">
      <c r="A10" s="86" t="s">
        <v>727</v>
      </c>
      <c r="B10" s="37" t="s">
        <v>728</v>
      </c>
      <c r="C10" s="37" t="s">
        <v>729</v>
      </c>
      <c r="D10" s="37" t="s">
        <v>713</v>
      </c>
    </row>
    <row r="11" customFormat="false" ht="78" hidden="false" customHeight="true" outlineLevel="0" collapsed="false">
      <c r="A11" s="86" t="s">
        <v>730</v>
      </c>
      <c r="B11" s="37" t="s">
        <v>731</v>
      </c>
      <c r="C11" s="37" t="s">
        <v>732</v>
      </c>
      <c r="D11" s="37" t="s">
        <v>713</v>
      </c>
    </row>
    <row r="12" customFormat="false" ht="78" hidden="false" customHeight="true" outlineLevel="0" collapsed="false">
      <c r="A12" s="86" t="s">
        <v>733</v>
      </c>
      <c r="B12" s="37" t="s">
        <v>734</v>
      </c>
      <c r="C12" s="37" t="s">
        <v>735</v>
      </c>
      <c r="D12" s="37" t="s">
        <v>713</v>
      </c>
    </row>
    <row r="13" customFormat="false" ht="78" hidden="false" customHeight="true" outlineLevel="0" collapsed="false">
      <c r="A13" s="86" t="s">
        <v>736</v>
      </c>
      <c r="B13" s="37" t="s">
        <v>737</v>
      </c>
      <c r="C13" s="37" t="s">
        <v>738</v>
      </c>
      <c r="D13" s="37" t="s">
        <v>713</v>
      </c>
    </row>
    <row r="14" customFormat="false" ht="78" hidden="false" customHeight="true" outlineLevel="0" collapsed="false">
      <c r="A14" s="86" t="s">
        <v>739</v>
      </c>
      <c r="B14" s="37" t="s">
        <v>740</v>
      </c>
      <c r="C14" s="37" t="s">
        <v>741</v>
      </c>
      <c r="D14" s="37" t="s">
        <v>713</v>
      </c>
    </row>
    <row r="15" customFormat="false" ht="78" hidden="false" customHeight="true" outlineLevel="0" collapsed="false">
      <c r="A15" s="86" t="s">
        <v>742</v>
      </c>
      <c r="B15" s="37" t="s">
        <v>743</v>
      </c>
      <c r="C15" s="37" t="s">
        <v>744</v>
      </c>
      <c r="D15" s="37" t="s">
        <v>745</v>
      </c>
    </row>
    <row r="16" customFormat="false" ht="78" hidden="false" customHeight="true" outlineLevel="0" collapsed="false">
      <c r="A16" s="88" t="s">
        <v>746</v>
      </c>
      <c r="B16" s="37" t="s">
        <v>747</v>
      </c>
      <c r="C16" s="37" t="s">
        <v>748</v>
      </c>
      <c r="D16" s="37" t="s">
        <v>749</v>
      </c>
    </row>
    <row r="17" customFormat="false" ht="78" hidden="false" customHeight="true" outlineLevel="0" collapsed="false">
      <c r="A17" s="88" t="s">
        <v>750</v>
      </c>
      <c r="B17" s="37" t="s">
        <v>751</v>
      </c>
      <c r="C17" s="37" t="s">
        <v>752</v>
      </c>
      <c r="D17" s="37" t="s">
        <v>753</v>
      </c>
    </row>
    <row r="18" customFormat="false" ht="78" hidden="false" customHeight="true" outlineLevel="0" collapsed="false">
      <c r="A18" s="88" t="s">
        <v>754</v>
      </c>
      <c r="B18" s="37" t="s">
        <v>755</v>
      </c>
      <c r="C18" s="37" t="s">
        <v>756</v>
      </c>
      <c r="D18" s="37" t="s">
        <v>753</v>
      </c>
    </row>
    <row r="19" customFormat="false" ht="78" hidden="false" customHeight="true" outlineLevel="0" collapsed="false">
      <c r="A19" s="88" t="s">
        <v>757</v>
      </c>
      <c r="B19" s="37" t="s">
        <v>758</v>
      </c>
      <c r="C19" s="37" t="s">
        <v>759</v>
      </c>
      <c r="D19" s="37" t="s">
        <v>753</v>
      </c>
    </row>
    <row r="20" customFormat="false" ht="78" hidden="false" customHeight="true" outlineLevel="0" collapsed="false">
      <c r="A20" s="88" t="s">
        <v>760</v>
      </c>
      <c r="B20" s="37" t="s">
        <v>761</v>
      </c>
      <c r="C20" s="37" t="s">
        <v>762</v>
      </c>
      <c r="D20" s="37" t="s">
        <v>763</v>
      </c>
    </row>
    <row r="21" customFormat="false" ht="78" hidden="false" customHeight="true" outlineLevel="0" collapsed="false">
      <c r="A21" s="86" t="s">
        <v>764</v>
      </c>
      <c r="B21" s="37" t="s">
        <v>765</v>
      </c>
      <c r="C21" s="37" t="s">
        <v>766</v>
      </c>
      <c r="D21" s="37" t="s">
        <v>767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0"/>
    <col collapsed="false" customWidth="true" hidden="false" outlineLevel="0" max="3" min="3" style="0" width="70"/>
    <col collapsed="false" customWidth="true" hidden="false" outlineLevel="0" max="4" min="4" style="0" width="60"/>
    <col collapsed="false" customWidth="true" hidden="false" outlineLevel="0" max="5" min="5" style="0" width="14"/>
  </cols>
  <sheetData>
    <row r="1" customFormat="false" ht="33.75" hidden="false" customHeight="true" outlineLevel="0" collapsed="false">
      <c r="A1" s="85" t="s">
        <v>768</v>
      </c>
      <c r="B1" s="85"/>
      <c r="C1" s="85"/>
      <c r="D1" s="85"/>
      <c r="E1" s="85"/>
    </row>
    <row r="2" customFormat="false" ht="30" hidden="false" customHeight="true" outlineLevel="0" collapsed="false">
      <c r="A2" s="35" t="s">
        <v>769</v>
      </c>
      <c r="B2" s="35" t="s">
        <v>770</v>
      </c>
      <c r="C2" s="35" t="s">
        <v>771</v>
      </c>
      <c r="D2" s="35" t="s">
        <v>772</v>
      </c>
      <c r="E2" s="35" t="s">
        <v>773</v>
      </c>
    </row>
    <row r="3" customFormat="false" ht="61.5" hidden="false" customHeight="true" outlineLevel="0" collapsed="false">
      <c r="A3" s="91" t="s">
        <v>774</v>
      </c>
      <c r="B3" s="37" t="s">
        <v>775</v>
      </c>
      <c r="C3" s="37" t="s">
        <v>776</v>
      </c>
      <c r="D3" s="37" t="s">
        <v>777</v>
      </c>
      <c r="E3" s="92" t="s">
        <v>778</v>
      </c>
    </row>
    <row r="4" customFormat="false" ht="61.5" hidden="false" customHeight="true" outlineLevel="0" collapsed="false">
      <c r="A4" s="91" t="s">
        <v>774</v>
      </c>
      <c r="B4" s="37" t="s">
        <v>779</v>
      </c>
      <c r="C4" s="37" t="s">
        <v>780</v>
      </c>
      <c r="D4" s="37" t="s">
        <v>781</v>
      </c>
      <c r="E4" s="92" t="s">
        <v>778</v>
      </c>
    </row>
    <row r="5" customFormat="false" ht="61.5" hidden="false" customHeight="true" outlineLevel="0" collapsed="false">
      <c r="A5" s="91" t="s">
        <v>774</v>
      </c>
      <c r="B5" s="37" t="s">
        <v>782</v>
      </c>
      <c r="C5" s="37" t="s">
        <v>783</v>
      </c>
      <c r="D5" s="37" t="s">
        <v>784</v>
      </c>
      <c r="E5" s="5" t="s">
        <v>785</v>
      </c>
    </row>
    <row r="6" customFormat="false" ht="61.5" hidden="false" customHeight="true" outlineLevel="0" collapsed="false">
      <c r="A6" s="91" t="s">
        <v>774</v>
      </c>
      <c r="B6" s="37" t="s">
        <v>786</v>
      </c>
      <c r="C6" s="37" t="s">
        <v>787</v>
      </c>
      <c r="D6" s="37" t="s">
        <v>788</v>
      </c>
      <c r="E6" s="5" t="s">
        <v>785</v>
      </c>
    </row>
    <row r="7" customFormat="false" ht="61.5" hidden="false" customHeight="true" outlineLevel="0" collapsed="false">
      <c r="A7" s="91" t="s">
        <v>774</v>
      </c>
      <c r="B7" s="37" t="s">
        <v>789</v>
      </c>
      <c r="C7" s="37" t="s">
        <v>790</v>
      </c>
      <c r="D7" s="37" t="s">
        <v>791</v>
      </c>
      <c r="E7" s="7" t="s">
        <v>792</v>
      </c>
    </row>
    <row r="8" customFormat="false" ht="61.5" hidden="false" customHeight="true" outlineLevel="0" collapsed="false">
      <c r="A8" s="91" t="s">
        <v>774</v>
      </c>
      <c r="B8" s="37" t="s">
        <v>793</v>
      </c>
      <c r="C8" s="37" t="s">
        <v>794</v>
      </c>
      <c r="D8" s="37" t="s">
        <v>795</v>
      </c>
      <c r="E8" s="7" t="s">
        <v>796</v>
      </c>
    </row>
    <row r="9" customFormat="false" ht="61.5" hidden="false" customHeight="true" outlineLevel="0" collapsed="false">
      <c r="A9" s="91" t="s">
        <v>774</v>
      </c>
      <c r="B9" s="37" t="s">
        <v>797</v>
      </c>
      <c r="C9" s="37" t="s">
        <v>798</v>
      </c>
      <c r="D9" s="37" t="s">
        <v>799</v>
      </c>
      <c r="E9" s="93" t="s">
        <v>800</v>
      </c>
    </row>
    <row r="10" customFormat="false" ht="61.5" hidden="false" customHeight="true" outlineLevel="0" collapsed="false">
      <c r="A10" s="91" t="s">
        <v>774</v>
      </c>
      <c r="B10" s="37" t="s">
        <v>801</v>
      </c>
      <c r="C10" s="37" t="s">
        <v>802</v>
      </c>
      <c r="D10" s="37" t="s">
        <v>803</v>
      </c>
      <c r="E10" s="5" t="s">
        <v>804</v>
      </c>
    </row>
    <row r="11" customFormat="false" ht="61.5" hidden="false" customHeight="true" outlineLevel="0" collapsed="false">
      <c r="A11" s="91" t="s">
        <v>774</v>
      </c>
      <c r="B11" s="37" t="s">
        <v>805</v>
      </c>
      <c r="C11" s="37" t="s">
        <v>806</v>
      </c>
      <c r="D11" s="37" t="s">
        <v>807</v>
      </c>
      <c r="E11" s="92" t="s">
        <v>778</v>
      </c>
    </row>
    <row r="12" customFormat="false" ht="61.5" hidden="false" customHeight="true" outlineLevel="0" collapsed="false">
      <c r="A12" s="91" t="s">
        <v>808</v>
      </c>
      <c r="B12" s="37" t="s">
        <v>809</v>
      </c>
      <c r="C12" s="37" t="s">
        <v>810</v>
      </c>
      <c r="D12" s="37" t="s">
        <v>811</v>
      </c>
      <c r="E12" s="92" t="s">
        <v>778</v>
      </c>
    </row>
    <row r="13" customFormat="false" ht="61.5" hidden="false" customHeight="true" outlineLevel="0" collapsed="false">
      <c r="A13" s="91" t="s">
        <v>812</v>
      </c>
      <c r="B13" s="37" t="s">
        <v>813</v>
      </c>
      <c r="C13" s="37" t="s">
        <v>814</v>
      </c>
      <c r="D13" s="37" t="s">
        <v>815</v>
      </c>
      <c r="E13" s="93" t="s">
        <v>800</v>
      </c>
    </row>
    <row r="14" customFormat="false" ht="61.5" hidden="false" customHeight="true" outlineLevel="0" collapsed="false">
      <c r="A14" s="91" t="s">
        <v>816</v>
      </c>
      <c r="B14" s="37" t="s">
        <v>817</v>
      </c>
      <c r="C14" s="37" t="s">
        <v>818</v>
      </c>
      <c r="D14" s="37" t="s">
        <v>819</v>
      </c>
      <c r="E14" s="92" t="s">
        <v>778</v>
      </c>
    </row>
    <row r="15" customFormat="false" ht="61.5" hidden="false" customHeight="true" outlineLevel="0" collapsed="false">
      <c r="A15" s="91" t="s">
        <v>820</v>
      </c>
      <c r="B15" s="37" t="s">
        <v>821</v>
      </c>
      <c r="C15" s="37" t="s">
        <v>822</v>
      </c>
      <c r="D15" s="37" t="s">
        <v>823</v>
      </c>
      <c r="E15" s="5" t="s">
        <v>785</v>
      </c>
    </row>
    <row r="16" customFormat="false" ht="61.5" hidden="false" customHeight="true" outlineLevel="0" collapsed="false">
      <c r="A16" s="91" t="s">
        <v>820</v>
      </c>
      <c r="B16" s="37" t="s">
        <v>824</v>
      </c>
      <c r="C16" s="37" t="s">
        <v>825</v>
      </c>
      <c r="D16" s="37" t="s">
        <v>826</v>
      </c>
      <c r="E16" s="5" t="s">
        <v>785</v>
      </c>
    </row>
    <row r="17" customFormat="false" ht="61.5" hidden="false" customHeight="true" outlineLevel="0" collapsed="false">
      <c r="A17" s="91" t="s">
        <v>820</v>
      </c>
      <c r="B17" s="37" t="s">
        <v>827</v>
      </c>
      <c r="C17" s="37" t="s">
        <v>828</v>
      </c>
      <c r="D17" s="37" t="s">
        <v>829</v>
      </c>
      <c r="E17" s="5" t="s">
        <v>804</v>
      </c>
    </row>
    <row r="18" customFormat="false" ht="61.5" hidden="false" customHeight="true" outlineLevel="0" collapsed="false">
      <c r="A18" s="91" t="s">
        <v>830</v>
      </c>
      <c r="B18" s="37" t="s">
        <v>831</v>
      </c>
      <c r="C18" s="37" t="s">
        <v>832</v>
      </c>
      <c r="D18" s="37" t="s">
        <v>833</v>
      </c>
      <c r="E18" s="5" t="s">
        <v>785</v>
      </c>
    </row>
    <row r="19" customFormat="false" ht="61.5" hidden="false" customHeight="true" outlineLevel="0" collapsed="false">
      <c r="A19" s="91" t="s">
        <v>830</v>
      </c>
      <c r="B19" s="37" t="s">
        <v>834</v>
      </c>
      <c r="C19" s="37" t="s">
        <v>835</v>
      </c>
      <c r="D19" s="37" t="s">
        <v>836</v>
      </c>
      <c r="E19" s="5" t="s">
        <v>804</v>
      </c>
    </row>
    <row r="20" customFormat="false" ht="61.5" hidden="false" customHeight="true" outlineLevel="0" collapsed="false">
      <c r="A20" s="91" t="s">
        <v>837</v>
      </c>
      <c r="B20" s="37" t="s">
        <v>838</v>
      </c>
      <c r="C20" s="37" t="s">
        <v>839</v>
      </c>
      <c r="D20" s="37" t="s">
        <v>840</v>
      </c>
      <c r="E20" s="5" t="s">
        <v>804</v>
      </c>
    </row>
    <row r="21" customFormat="false" ht="61.5" hidden="false" customHeight="true" outlineLevel="0" collapsed="false">
      <c r="A21" s="91" t="s">
        <v>841</v>
      </c>
      <c r="B21" s="37" t="s">
        <v>842</v>
      </c>
      <c r="C21" s="37" t="s">
        <v>843</v>
      </c>
      <c r="D21" s="37" t="s">
        <v>844</v>
      </c>
      <c r="E21" s="92" t="s">
        <v>778</v>
      </c>
    </row>
    <row r="22" customFormat="false" ht="61.5" hidden="false" customHeight="true" outlineLevel="0" collapsed="false">
      <c r="A22" s="91" t="s">
        <v>841</v>
      </c>
      <c r="B22" s="37" t="s">
        <v>845</v>
      </c>
      <c r="C22" s="37" t="s">
        <v>846</v>
      </c>
      <c r="D22" s="37" t="s">
        <v>847</v>
      </c>
      <c r="E22" s="93" t="s">
        <v>800</v>
      </c>
    </row>
    <row r="24" customFormat="false" ht="15" hidden="false" customHeight="false" outlineLevel="0" collapsed="false">
      <c r="A24" s="94" t="s">
        <v>848</v>
      </c>
      <c r="B24" s="94"/>
      <c r="C24" s="94"/>
      <c r="D24" s="94"/>
      <c r="E24" s="94"/>
    </row>
    <row r="25" customFormat="false" ht="15" hidden="false" customHeight="false" outlineLevel="0" collapsed="false">
      <c r="A25" s="94" t="s">
        <v>849</v>
      </c>
      <c r="B25" s="94"/>
      <c r="C25" s="94"/>
      <c r="D25" s="94"/>
      <c r="E25" s="94"/>
    </row>
    <row r="26" customFormat="false" ht="15" hidden="false" customHeight="false" outlineLevel="0" collapsed="false">
      <c r="A26" s="94" t="s">
        <v>850</v>
      </c>
      <c r="B26" s="94"/>
      <c r="C26" s="94"/>
      <c r="D26" s="94"/>
      <c r="E26" s="94"/>
    </row>
  </sheetData>
  <mergeCells count="4">
    <mergeCell ref="A1:E1"/>
    <mergeCell ref="A24:E24"/>
    <mergeCell ref="A25:E25"/>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0"/>
    <col collapsed="false" customWidth="true" hidden="false" outlineLevel="0" max="2" min="2" style="0" width="22"/>
    <col collapsed="false" customWidth="true" hidden="false" outlineLevel="0" max="3" min="3" style="0" width="46"/>
    <col collapsed="false" customWidth="true" hidden="false" outlineLevel="0" max="4" min="4" style="0" width="34"/>
    <col collapsed="false" customWidth="true" hidden="false" outlineLevel="0" max="5" min="5" style="0" width="12"/>
  </cols>
  <sheetData>
    <row r="1" customFormat="false" ht="30" hidden="false" customHeight="true" outlineLevel="0" collapsed="false">
      <c r="A1" s="89" t="s">
        <v>851</v>
      </c>
      <c r="B1" s="89"/>
      <c r="C1" s="89"/>
      <c r="D1" s="89"/>
      <c r="E1" s="89"/>
    </row>
    <row r="2" customFormat="false" ht="30" hidden="false" customHeight="true" outlineLevel="0" collapsed="false">
      <c r="A2" s="35" t="s">
        <v>852</v>
      </c>
      <c r="B2" s="35" t="s">
        <v>640</v>
      </c>
      <c r="C2" s="35" t="s">
        <v>853</v>
      </c>
      <c r="D2" s="35" t="s">
        <v>854</v>
      </c>
      <c r="E2" s="35" t="s">
        <v>855</v>
      </c>
    </row>
    <row r="3" customFormat="false" ht="48" hidden="false" customHeight="true" outlineLevel="0" collapsed="false">
      <c r="A3" s="37" t="s">
        <v>856</v>
      </c>
      <c r="B3" s="37" t="s">
        <v>804</v>
      </c>
      <c r="C3" s="37" t="s">
        <v>857</v>
      </c>
      <c r="D3" s="37" t="s">
        <v>858</v>
      </c>
      <c r="E3" s="5" t="s">
        <v>859</v>
      </c>
    </row>
    <row r="4" customFormat="false" ht="48" hidden="false" customHeight="true" outlineLevel="0" collapsed="false">
      <c r="A4" s="37" t="s">
        <v>860</v>
      </c>
      <c r="B4" s="37" t="s">
        <v>804</v>
      </c>
      <c r="C4" s="37" t="s">
        <v>861</v>
      </c>
      <c r="D4" s="37" t="s">
        <v>862</v>
      </c>
      <c r="E4" s="5" t="s">
        <v>859</v>
      </c>
    </row>
    <row r="5" customFormat="false" ht="48" hidden="false" customHeight="true" outlineLevel="0" collapsed="false">
      <c r="A5" s="37" t="s">
        <v>863</v>
      </c>
      <c r="B5" s="37" t="s">
        <v>804</v>
      </c>
      <c r="C5" s="37" t="s">
        <v>864</v>
      </c>
      <c r="D5" s="37" t="s">
        <v>865</v>
      </c>
      <c r="E5" s="7" t="s">
        <v>596</v>
      </c>
    </row>
    <row r="6" customFormat="false" ht="48" hidden="false" customHeight="true" outlineLevel="0" collapsed="false">
      <c r="A6" s="37" t="s">
        <v>866</v>
      </c>
      <c r="B6" s="37" t="s">
        <v>867</v>
      </c>
      <c r="C6" s="37" t="s">
        <v>868</v>
      </c>
      <c r="D6" s="37" t="s">
        <v>869</v>
      </c>
      <c r="E6" s="5" t="s">
        <v>859</v>
      </c>
    </row>
    <row r="7" customFormat="false" ht="48" hidden="false" customHeight="true" outlineLevel="0" collapsed="false">
      <c r="A7" s="37" t="s">
        <v>870</v>
      </c>
      <c r="B7" s="37" t="s">
        <v>867</v>
      </c>
      <c r="C7" s="37" t="s">
        <v>871</v>
      </c>
      <c r="D7" s="37" t="s">
        <v>872</v>
      </c>
      <c r="E7" s="5" t="s">
        <v>859</v>
      </c>
    </row>
    <row r="8" customFormat="false" ht="48" hidden="false" customHeight="true" outlineLevel="0" collapsed="false">
      <c r="A8" s="37" t="s">
        <v>873</v>
      </c>
      <c r="B8" s="37" t="s">
        <v>796</v>
      </c>
      <c r="C8" s="37" t="s">
        <v>874</v>
      </c>
      <c r="D8" s="37" t="s">
        <v>875</v>
      </c>
      <c r="E8" s="7" t="s">
        <v>596</v>
      </c>
    </row>
    <row r="9" customFormat="false" ht="48" hidden="false" customHeight="true" outlineLevel="0" collapsed="false">
      <c r="A9" s="37" t="s">
        <v>876</v>
      </c>
      <c r="B9" s="37" t="s">
        <v>877</v>
      </c>
      <c r="C9" s="37" t="s">
        <v>878</v>
      </c>
      <c r="D9" s="37" t="s">
        <v>879</v>
      </c>
      <c r="E9" s="5" t="s">
        <v>859</v>
      </c>
    </row>
    <row r="10" customFormat="false" ht="48" hidden="false" customHeight="true" outlineLevel="0" collapsed="false">
      <c r="A10" s="37" t="s">
        <v>880</v>
      </c>
      <c r="B10" s="37" t="s">
        <v>804</v>
      </c>
      <c r="C10" s="37" t="s">
        <v>881</v>
      </c>
      <c r="D10" s="37" t="s">
        <v>882</v>
      </c>
      <c r="E10" s="5" t="s">
        <v>859</v>
      </c>
    </row>
    <row r="11" customFormat="false" ht="48" hidden="false" customHeight="true" outlineLevel="0" collapsed="false">
      <c r="A11" s="37" t="s">
        <v>883</v>
      </c>
      <c r="B11" s="37" t="s">
        <v>804</v>
      </c>
      <c r="C11" s="37" t="s">
        <v>884</v>
      </c>
      <c r="D11" s="37" t="s">
        <v>882</v>
      </c>
      <c r="E11" s="7" t="s">
        <v>596</v>
      </c>
    </row>
    <row r="12" customFormat="false" ht="48" hidden="false" customHeight="true" outlineLevel="0" collapsed="false">
      <c r="A12" s="37" t="s">
        <v>885</v>
      </c>
      <c r="B12" s="37" t="s">
        <v>886</v>
      </c>
      <c r="C12" s="37" t="s">
        <v>887</v>
      </c>
      <c r="D12" s="37" t="s">
        <v>888</v>
      </c>
      <c r="E12" s="5" t="s">
        <v>859</v>
      </c>
    </row>
    <row r="13" customFormat="false" ht="48" hidden="false" customHeight="true" outlineLevel="0" collapsed="false">
      <c r="A13" s="37" t="s">
        <v>889</v>
      </c>
      <c r="B13" s="37" t="s">
        <v>890</v>
      </c>
      <c r="C13" s="37" t="s">
        <v>891</v>
      </c>
      <c r="D13" s="37" t="s">
        <v>892</v>
      </c>
      <c r="E13" s="7" t="s">
        <v>596</v>
      </c>
    </row>
    <row r="14" customFormat="false" ht="48" hidden="false" customHeight="true" outlineLevel="0" collapsed="false">
      <c r="A14" s="37" t="s">
        <v>893</v>
      </c>
      <c r="B14" s="37" t="s">
        <v>894</v>
      </c>
      <c r="C14" s="37" t="s">
        <v>895</v>
      </c>
      <c r="D14" s="37" t="s">
        <v>872</v>
      </c>
      <c r="E14" s="7" t="s">
        <v>596</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0"/>
    <col collapsed="false" customWidth="true" hidden="false" outlineLevel="0" max="3" min="3" style="0" width="40"/>
  </cols>
  <sheetData>
    <row r="1" customFormat="false" ht="30" hidden="false" customHeight="true" outlineLevel="0" collapsed="false">
      <c r="A1" s="89" t="s">
        <v>896</v>
      </c>
      <c r="B1" s="89"/>
      <c r="C1" s="89"/>
    </row>
    <row r="3" customFormat="false" ht="30" hidden="false" customHeight="true" outlineLevel="0" collapsed="false">
      <c r="A3" s="35" t="s">
        <v>897</v>
      </c>
      <c r="B3" s="35" t="s">
        <v>898</v>
      </c>
      <c r="C3" s="35" t="s">
        <v>899</v>
      </c>
    </row>
    <row r="4" customFormat="false" ht="3.75" hidden="false" customHeight="true" outlineLevel="0" collapsed="false">
      <c r="A4" s="9"/>
    </row>
    <row r="5" customFormat="false" ht="57.75" hidden="false" customHeight="true" outlineLevel="0" collapsed="false">
      <c r="A5" s="95" t="s">
        <v>75</v>
      </c>
      <c r="B5" s="37" t="s">
        <v>900</v>
      </c>
      <c r="C5" s="37" t="s">
        <v>901</v>
      </c>
    </row>
    <row r="6" customFormat="false" ht="57.75" hidden="false" customHeight="true" outlineLevel="0" collapsed="false">
      <c r="A6" s="96" t="s">
        <v>76</v>
      </c>
      <c r="B6" s="37" t="s">
        <v>902</v>
      </c>
      <c r="C6" s="37" t="s">
        <v>903</v>
      </c>
    </row>
    <row r="7" customFormat="false" ht="57.75" hidden="false" customHeight="true" outlineLevel="0" collapsed="false">
      <c r="A7" s="97" t="s">
        <v>904</v>
      </c>
      <c r="B7" s="37" t="s">
        <v>905</v>
      </c>
      <c r="C7" s="37" t="s">
        <v>906</v>
      </c>
    </row>
    <row r="9" customFormat="false" ht="30" hidden="false" customHeight="true" outlineLevel="0" collapsed="false">
      <c r="A9" s="35" t="s">
        <v>907</v>
      </c>
      <c r="B9" s="35" t="s">
        <v>908</v>
      </c>
      <c r="C9" s="35" t="s">
        <v>909</v>
      </c>
    </row>
    <row r="10" customFormat="false" ht="36" hidden="false" customHeight="true" outlineLevel="0" collapsed="false">
      <c r="A10" s="73" t="s">
        <v>910</v>
      </c>
      <c r="B10" s="37" t="s">
        <v>911</v>
      </c>
      <c r="C10" s="98" t="s">
        <v>912</v>
      </c>
    </row>
    <row r="11" customFormat="false" ht="36" hidden="false" customHeight="true" outlineLevel="0" collapsed="false">
      <c r="A11" s="73" t="s">
        <v>913</v>
      </c>
      <c r="B11" s="37" t="s">
        <v>914</v>
      </c>
      <c r="C11" s="98" t="s">
        <v>915</v>
      </c>
    </row>
    <row r="12" customFormat="false" ht="36" hidden="false" customHeight="true" outlineLevel="0" collapsed="false">
      <c r="A12" s="73" t="s">
        <v>916</v>
      </c>
      <c r="B12" s="37" t="s">
        <v>917</v>
      </c>
      <c r="C12" s="98" t="s">
        <v>918</v>
      </c>
    </row>
    <row r="13" customFormat="false" ht="36" hidden="false" customHeight="true" outlineLevel="0" collapsed="false">
      <c r="A13" s="99" t="s">
        <v>919</v>
      </c>
      <c r="B13" s="37" t="s">
        <v>920</v>
      </c>
      <c r="C13" s="98" t="s">
        <v>921</v>
      </c>
    </row>
    <row r="14" customFormat="false" ht="36" hidden="false" customHeight="true" outlineLevel="0" collapsed="false">
      <c r="A14" s="100" t="s">
        <v>922</v>
      </c>
      <c r="B14" s="37" t="s">
        <v>923</v>
      </c>
      <c r="C14" s="98" t="s">
        <v>924</v>
      </c>
    </row>
    <row r="15" customFormat="false" ht="36" hidden="false" customHeight="true" outlineLevel="0" collapsed="false">
      <c r="A15" s="100" t="s">
        <v>925</v>
      </c>
      <c r="B15" s="37" t="s">
        <v>926</v>
      </c>
      <c r="C15" s="98" t="s">
        <v>927</v>
      </c>
    </row>
    <row r="16" customFormat="false" ht="36" hidden="false" customHeight="true" outlineLevel="0" collapsed="false">
      <c r="A16" s="101" t="s">
        <v>928</v>
      </c>
      <c r="B16" s="37" t="s">
        <v>929</v>
      </c>
      <c r="C16" s="98" t="s">
        <v>930</v>
      </c>
    </row>
    <row r="17" customFormat="false" ht="36" hidden="false" customHeight="true" outlineLevel="0" collapsed="false">
      <c r="A17" s="100" t="s">
        <v>931</v>
      </c>
      <c r="B17" s="37" t="s">
        <v>932</v>
      </c>
      <c r="C17" s="98" t="s">
        <v>933</v>
      </c>
    </row>
    <row r="19" customFormat="false" ht="39.75" hidden="false" customHeight="true" outlineLevel="0" collapsed="false">
      <c r="A19" s="42" t="s">
        <v>934</v>
      </c>
      <c r="B19" s="42"/>
      <c r="C19" s="42"/>
    </row>
  </sheetData>
  <mergeCells count="2">
    <mergeCell ref="A1:C1"/>
    <mergeCell ref="A19:C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95959"/>
    <pageSetUpPr fitToPage="false"/>
  </sheetPr>
  <dimension ref="A1:K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34"/>
    <col collapsed="false" customWidth="true" hidden="false" outlineLevel="0" max="4" min="4" style="0" width="40"/>
    <col collapsed="false" customWidth="true" hidden="false" outlineLevel="0" max="5" min="5" style="0" width="14"/>
    <col collapsed="false" customWidth="true" hidden="false" outlineLevel="0" max="6" min="6" style="0" width="16"/>
    <col collapsed="false" customWidth="true" hidden="false" outlineLevel="0" max="8" min="7" style="0" width="22"/>
    <col collapsed="false" customWidth="true" hidden="false" outlineLevel="0" max="9" min="9" style="0" width="16"/>
    <col collapsed="false" customWidth="true" hidden="false" outlineLevel="0" max="10" min="10" style="0" width="22"/>
    <col collapsed="false" customWidth="true" hidden="false" outlineLevel="0" max="11" min="11" style="0" width="40"/>
  </cols>
  <sheetData>
    <row r="1" customFormat="false" ht="30" hidden="false" customHeight="true" outlineLevel="0" collapsed="false">
      <c r="A1" s="35" t="s">
        <v>935</v>
      </c>
      <c r="B1" s="35" t="s">
        <v>78</v>
      </c>
      <c r="C1" s="35" t="s">
        <v>79</v>
      </c>
      <c r="D1" s="35" t="s">
        <v>99</v>
      </c>
      <c r="E1" s="35" t="s">
        <v>936</v>
      </c>
      <c r="F1" s="35" t="s">
        <v>937</v>
      </c>
      <c r="G1" s="35" t="s">
        <v>938</v>
      </c>
      <c r="H1" s="35" t="s">
        <v>939</v>
      </c>
      <c r="I1" s="35" t="s">
        <v>940</v>
      </c>
      <c r="J1" s="35" t="s">
        <v>941</v>
      </c>
      <c r="K1" s="35" t="s">
        <v>942</v>
      </c>
    </row>
    <row r="2" customFormat="false" ht="22.35" hidden="false" customHeight="false" outlineLevel="0" collapsed="false">
      <c r="A2" s="102" t="s">
        <v>943</v>
      </c>
      <c r="B2" s="103" t="s">
        <v>87</v>
      </c>
      <c r="C2" s="103" t="s">
        <v>88</v>
      </c>
      <c r="D2" s="103" t="s">
        <v>89</v>
      </c>
      <c r="E2" s="103" t="s">
        <v>944</v>
      </c>
      <c r="F2" s="103" t="s">
        <v>215</v>
      </c>
      <c r="G2" s="103" t="s">
        <v>75</v>
      </c>
      <c r="H2" s="103" t="s">
        <v>157</v>
      </c>
      <c r="I2" s="103" t="s">
        <v>945</v>
      </c>
      <c r="J2" s="103" t="s">
        <v>646</v>
      </c>
      <c r="K2" s="103" t="s">
        <v>946</v>
      </c>
    </row>
    <row r="3" customFormat="false" ht="15" hidden="false" customHeight="false" outlineLevel="0" collapsed="false">
      <c r="A3" s="104"/>
      <c r="B3" s="105"/>
      <c r="C3" s="105"/>
      <c r="D3" s="105"/>
      <c r="E3" s="105"/>
      <c r="F3" s="105"/>
      <c r="G3" s="105"/>
      <c r="H3" s="105"/>
      <c r="I3" s="105"/>
      <c r="J3" s="105"/>
      <c r="K3" s="105"/>
    </row>
    <row r="4" customFormat="false" ht="15" hidden="false" customHeight="false" outlineLevel="0" collapsed="false">
      <c r="A4" s="104"/>
      <c r="B4" s="105"/>
      <c r="C4" s="105"/>
      <c r="D4" s="105"/>
      <c r="E4" s="105"/>
      <c r="F4" s="105"/>
      <c r="G4" s="105"/>
      <c r="H4" s="105"/>
      <c r="I4" s="105"/>
      <c r="J4" s="105"/>
      <c r="K4" s="105"/>
    </row>
    <row r="5" customFormat="false" ht="15" hidden="false" customHeight="false" outlineLevel="0" collapsed="false">
      <c r="A5" s="104"/>
      <c r="B5" s="105"/>
      <c r="C5" s="105"/>
      <c r="D5" s="105"/>
      <c r="E5" s="105"/>
      <c r="F5" s="105"/>
      <c r="G5" s="105"/>
      <c r="H5" s="105"/>
      <c r="I5" s="105"/>
      <c r="J5" s="105"/>
      <c r="K5" s="105"/>
    </row>
    <row r="6" customFormat="false" ht="15" hidden="false" customHeight="false" outlineLevel="0" collapsed="false">
      <c r="A6" s="104"/>
      <c r="B6" s="105"/>
      <c r="C6" s="105"/>
      <c r="D6" s="105"/>
      <c r="E6" s="105"/>
      <c r="F6" s="105"/>
      <c r="G6" s="105"/>
      <c r="H6" s="105"/>
      <c r="I6" s="105"/>
      <c r="J6" s="105"/>
      <c r="K6" s="105"/>
    </row>
    <row r="7" customFormat="false" ht="15" hidden="false" customHeight="false" outlineLevel="0" collapsed="false">
      <c r="A7" s="104"/>
      <c r="B7" s="105"/>
      <c r="C7" s="105"/>
      <c r="D7" s="105"/>
      <c r="E7" s="105"/>
      <c r="F7" s="105"/>
      <c r="G7" s="105"/>
      <c r="H7" s="105"/>
      <c r="I7" s="105"/>
      <c r="J7" s="105"/>
      <c r="K7" s="105"/>
    </row>
    <row r="8" customFormat="false" ht="15" hidden="false" customHeight="false" outlineLevel="0" collapsed="false">
      <c r="A8" s="104"/>
      <c r="B8" s="105"/>
      <c r="C8" s="105"/>
      <c r="D8" s="105"/>
      <c r="E8" s="105"/>
      <c r="F8" s="105"/>
      <c r="G8" s="105"/>
      <c r="H8" s="105"/>
      <c r="I8" s="105"/>
      <c r="J8" s="105"/>
      <c r="K8" s="105"/>
    </row>
    <row r="9" customFormat="false" ht="15" hidden="false" customHeight="false" outlineLevel="0" collapsed="false">
      <c r="A9" s="104"/>
      <c r="B9" s="105"/>
      <c r="C9" s="105"/>
      <c r="D9" s="105"/>
      <c r="E9" s="105"/>
      <c r="F9" s="105"/>
      <c r="G9" s="105"/>
      <c r="H9" s="105"/>
      <c r="I9" s="105"/>
      <c r="J9" s="105"/>
      <c r="K9" s="105"/>
    </row>
    <row r="10" customFormat="false" ht="15" hidden="false" customHeight="false" outlineLevel="0" collapsed="false">
      <c r="A10" s="104"/>
      <c r="B10" s="105"/>
      <c r="C10" s="105"/>
      <c r="D10" s="105"/>
      <c r="E10" s="105"/>
      <c r="F10" s="105"/>
      <c r="G10" s="105"/>
      <c r="H10" s="105"/>
      <c r="I10" s="105"/>
      <c r="J10" s="105"/>
      <c r="K10" s="105"/>
    </row>
    <row r="11" customFormat="false" ht="15" hidden="false" customHeight="false" outlineLevel="0" collapsed="false">
      <c r="A11" s="104"/>
      <c r="B11" s="105"/>
      <c r="C11" s="105"/>
      <c r="D11" s="105"/>
      <c r="E11" s="105"/>
      <c r="F11" s="105"/>
      <c r="G11" s="105"/>
      <c r="H11" s="105"/>
      <c r="I11" s="105"/>
      <c r="J11" s="105"/>
      <c r="K11" s="105"/>
    </row>
    <row r="12" customFormat="false" ht="15" hidden="false" customHeight="false" outlineLevel="0" collapsed="false">
      <c r="A12" s="104"/>
      <c r="B12" s="105"/>
      <c r="C12" s="105"/>
      <c r="D12" s="105"/>
      <c r="E12" s="105"/>
      <c r="F12" s="105"/>
      <c r="G12" s="105"/>
      <c r="H12" s="105"/>
      <c r="I12" s="105"/>
      <c r="J12" s="105"/>
      <c r="K12" s="105"/>
    </row>
    <row r="13" customFormat="false" ht="15" hidden="false" customHeight="false" outlineLevel="0" collapsed="false">
      <c r="A13" s="104"/>
      <c r="B13" s="105"/>
      <c r="C13" s="105"/>
      <c r="D13" s="105"/>
      <c r="E13" s="105"/>
      <c r="F13" s="105"/>
      <c r="G13" s="105"/>
      <c r="H13" s="105"/>
      <c r="I13" s="105"/>
      <c r="J13" s="105"/>
      <c r="K13" s="105"/>
    </row>
    <row r="14" customFormat="false" ht="15" hidden="false" customHeight="false" outlineLevel="0" collapsed="false">
      <c r="A14" s="104"/>
      <c r="B14" s="105"/>
      <c r="C14" s="105"/>
      <c r="D14" s="105"/>
      <c r="E14" s="105"/>
      <c r="F14" s="105"/>
      <c r="G14" s="105"/>
      <c r="H14" s="105"/>
      <c r="I14" s="105"/>
      <c r="J14" s="105"/>
      <c r="K14" s="105"/>
    </row>
    <row r="15" customFormat="false" ht="15" hidden="false" customHeight="false" outlineLevel="0" collapsed="false">
      <c r="A15" s="104"/>
      <c r="B15" s="105"/>
      <c r="C15" s="105"/>
      <c r="D15" s="105"/>
      <c r="E15" s="105"/>
      <c r="F15" s="105"/>
      <c r="G15" s="105"/>
      <c r="H15" s="105"/>
      <c r="I15" s="105"/>
      <c r="J15" s="105"/>
      <c r="K15" s="105"/>
    </row>
    <row r="16" customFormat="false" ht="15" hidden="false" customHeight="false" outlineLevel="0" collapsed="false">
      <c r="A16" s="104"/>
      <c r="B16" s="105"/>
      <c r="C16" s="105"/>
      <c r="D16" s="105"/>
      <c r="E16" s="105"/>
      <c r="F16" s="105"/>
      <c r="G16" s="105"/>
      <c r="H16" s="105"/>
      <c r="I16" s="105"/>
      <c r="J16" s="105"/>
      <c r="K16" s="105"/>
    </row>
    <row r="17" customFormat="false" ht="15" hidden="false" customHeight="false" outlineLevel="0" collapsed="false">
      <c r="A17" s="104"/>
      <c r="B17" s="105"/>
      <c r="C17" s="105"/>
      <c r="D17" s="105"/>
      <c r="E17" s="105"/>
      <c r="F17" s="105"/>
      <c r="G17" s="105"/>
      <c r="H17" s="105"/>
      <c r="I17" s="105"/>
      <c r="J17" s="105"/>
      <c r="K17" s="105"/>
    </row>
    <row r="18" customFormat="false" ht="15" hidden="false" customHeight="false" outlineLevel="0" collapsed="false">
      <c r="A18" s="104"/>
      <c r="B18" s="105"/>
      <c r="C18" s="105"/>
      <c r="D18" s="105"/>
      <c r="E18" s="105"/>
      <c r="F18" s="105"/>
      <c r="G18" s="105"/>
      <c r="H18" s="105"/>
      <c r="I18" s="105"/>
      <c r="J18" s="105"/>
      <c r="K18" s="105"/>
    </row>
    <row r="19" customFormat="false" ht="15" hidden="false" customHeight="false" outlineLevel="0" collapsed="false">
      <c r="A19" s="104"/>
      <c r="B19" s="105"/>
      <c r="C19" s="105"/>
      <c r="D19" s="105"/>
      <c r="E19" s="105"/>
      <c r="F19" s="105"/>
      <c r="G19" s="105"/>
      <c r="H19" s="105"/>
      <c r="I19" s="105"/>
      <c r="J19" s="105"/>
      <c r="K19" s="105"/>
    </row>
    <row r="20" customFormat="false" ht="15" hidden="false" customHeight="false" outlineLevel="0" collapsed="false">
      <c r="A20" s="104"/>
      <c r="B20" s="105"/>
      <c r="C20" s="105"/>
      <c r="D20" s="105"/>
      <c r="E20" s="105"/>
      <c r="F20" s="105"/>
      <c r="G20" s="105"/>
      <c r="H20" s="105"/>
      <c r="I20" s="105"/>
      <c r="J20" s="105"/>
      <c r="K20" s="105"/>
    </row>
    <row r="21" customFormat="false" ht="15" hidden="false" customHeight="false" outlineLevel="0" collapsed="false">
      <c r="A21" s="104"/>
      <c r="B21" s="105"/>
      <c r="C21" s="105"/>
      <c r="D21" s="105"/>
      <c r="E21" s="105"/>
      <c r="F21" s="105"/>
      <c r="G21" s="105"/>
      <c r="H21" s="105"/>
      <c r="I21" s="105"/>
      <c r="J21" s="105"/>
      <c r="K21" s="105"/>
    </row>
    <row r="22" customFormat="false" ht="15" hidden="false" customHeight="false" outlineLevel="0" collapsed="false">
      <c r="A22" s="104"/>
      <c r="B22" s="105"/>
      <c r="C22" s="105"/>
      <c r="D22" s="105"/>
      <c r="E22" s="105"/>
      <c r="F22" s="105"/>
      <c r="G22" s="105"/>
      <c r="H22" s="105"/>
      <c r="I22" s="105"/>
      <c r="J22" s="105"/>
      <c r="K22" s="105"/>
    </row>
    <row r="23" customFormat="false" ht="15" hidden="false" customHeight="false" outlineLevel="0" collapsed="false">
      <c r="A23" s="104"/>
      <c r="B23" s="105"/>
      <c r="C23" s="105"/>
      <c r="D23" s="105"/>
      <c r="E23" s="105"/>
      <c r="F23" s="105"/>
      <c r="G23" s="105"/>
      <c r="H23" s="105"/>
      <c r="I23" s="105"/>
      <c r="J23" s="105"/>
      <c r="K23" s="105"/>
    </row>
    <row r="24" customFormat="false" ht="15" hidden="false" customHeight="false" outlineLevel="0" collapsed="false">
      <c r="A24" s="104"/>
      <c r="B24" s="105"/>
      <c r="C24" s="105"/>
      <c r="D24" s="105"/>
      <c r="E24" s="105"/>
      <c r="F24" s="105"/>
      <c r="G24" s="105"/>
      <c r="H24" s="105"/>
      <c r="I24" s="105"/>
      <c r="J24" s="105"/>
      <c r="K24" s="105"/>
    </row>
    <row r="25" customFormat="false" ht="15" hidden="false" customHeight="false" outlineLevel="0" collapsed="false">
      <c r="A25" s="104"/>
      <c r="B25" s="105"/>
      <c r="C25" s="105"/>
      <c r="D25" s="105"/>
      <c r="E25" s="105"/>
      <c r="F25" s="105"/>
      <c r="G25" s="105"/>
      <c r="H25" s="105"/>
      <c r="I25" s="105"/>
      <c r="J25" s="105"/>
      <c r="K25" s="105"/>
    </row>
    <row r="26" customFormat="false" ht="15" hidden="false" customHeight="false" outlineLevel="0" collapsed="false">
      <c r="A26" s="104"/>
      <c r="B26" s="105"/>
      <c r="C26" s="105"/>
      <c r="D26" s="105"/>
      <c r="E26" s="105"/>
      <c r="F26" s="105"/>
      <c r="G26" s="105"/>
      <c r="H26" s="105"/>
      <c r="I26" s="105"/>
      <c r="J26" s="105"/>
      <c r="K26" s="105"/>
    </row>
    <row r="27" customFormat="false" ht="15" hidden="false" customHeight="false" outlineLevel="0" collapsed="false">
      <c r="A27" s="104"/>
      <c r="B27" s="105"/>
      <c r="C27" s="105"/>
      <c r="D27" s="105"/>
      <c r="E27" s="105"/>
      <c r="F27" s="105"/>
      <c r="G27" s="105"/>
      <c r="H27" s="105"/>
      <c r="I27" s="105"/>
      <c r="J27" s="105"/>
      <c r="K27" s="105"/>
    </row>
    <row r="28" customFormat="false" ht="15" hidden="false" customHeight="false" outlineLevel="0" collapsed="false">
      <c r="A28" s="104"/>
      <c r="B28" s="105"/>
      <c r="C28" s="105"/>
      <c r="D28" s="105"/>
      <c r="E28" s="105"/>
      <c r="F28" s="105"/>
      <c r="G28" s="105"/>
      <c r="H28" s="105"/>
      <c r="I28" s="105"/>
      <c r="J28" s="105"/>
      <c r="K28" s="105"/>
    </row>
    <row r="29" customFormat="false" ht="15" hidden="false" customHeight="false" outlineLevel="0" collapsed="false">
      <c r="A29" s="104"/>
      <c r="B29" s="105"/>
      <c r="C29" s="105"/>
      <c r="D29" s="105"/>
      <c r="E29" s="105"/>
      <c r="F29" s="105"/>
      <c r="G29" s="105"/>
      <c r="H29" s="105"/>
      <c r="I29" s="105"/>
      <c r="J29" s="105"/>
      <c r="K29" s="105"/>
    </row>
    <row r="30" customFormat="false" ht="15" hidden="false" customHeight="false" outlineLevel="0" collapsed="false">
      <c r="A30" s="104"/>
      <c r="B30" s="105"/>
      <c r="C30" s="105"/>
      <c r="D30" s="105"/>
      <c r="E30" s="105"/>
      <c r="F30" s="105"/>
      <c r="G30" s="105"/>
      <c r="H30" s="105"/>
      <c r="I30" s="105"/>
      <c r="J30" s="105"/>
      <c r="K30" s="105"/>
    </row>
    <row r="31" customFormat="false" ht="15" hidden="false" customHeight="false" outlineLevel="0" collapsed="false">
      <c r="A31" s="104"/>
      <c r="B31" s="105"/>
      <c r="C31" s="105"/>
      <c r="D31" s="105"/>
      <c r="E31" s="105"/>
      <c r="F31" s="105"/>
      <c r="G31" s="105"/>
      <c r="H31" s="105"/>
      <c r="I31" s="105"/>
      <c r="J31" s="105"/>
      <c r="K31" s="105"/>
    </row>
    <row r="32" customFormat="false" ht="15" hidden="false" customHeight="false" outlineLevel="0" collapsed="false">
      <c r="A32" s="104"/>
      <c r="B32" s="105"/>
      <c r="C32" s="105"/>
      <c r="D32" s="105"/>
      <c r="E32" s="105"/>
      <c r="F32" s="105"/>
      <c r="G32" s="105"/>
      <c r="H32" s="105"/>
      <c r="I32" s="105"/>
      <c r="J32" s="105"/>
      <c r="K32" s="105"/>
    </row>
    <row r="33" customFormat="false" ht="15" hidden="false" customHeight="false" outlineLevel="0" collapsed="false">
      <c r="A33" s="104"/>
      <c r="B33" s="105"/>
      <c r="C33" s="105"/>
      <c r="D33" s="105"/>
      <c r="E33" s="105"/>
      <c r="F33" s="105"/>
      <c r="G33" s="105"/>
      <c r="H33" s="105"/>
      <c r="I33" s="105"/>
      <c r="J33" s="105"/>
      <c r="K33" s="105"/>
    </row>
    <row r="34" customFormat="false" ht="15" hidden="false" customHeight="false" outlineLevel="0" collapsed="false">
      <c r="A34" s="104"/>
      <c r="B34" s="105"/>
      <c r="C34" s="105"/>
      <c r="D34" s="105"/>
      <c r="E34" s="105"/>
      <c r="F34" s="105"/>
      <c r="G34" s="105"/>
      <c r="H34" s="105"/>
      <c r="I34" s="105"/>
      <c r="J34" s="105"/>
      <c r="K34" s="105"/>
    </row>
    <row r="35" customFormat="false" ht="15" hidden="false" customHeight="false" outlineLevel="0" collapsed="false">
      <c r="A35" s="104"/>
      <c r="B35" s="105"/>
      <c r="C35" s="105"/>
      <c r="D35" s="105"/>
      <c r="E35" s="105"/>
      <c r="F35" s="105"/>
      <c r="G35" s="105"/>
      <c r="H35" s="105"/>
      <c r="I35" s="105"/>
      <c r="J35" s="105"/>
      <c r="K35" s="105"/>
    </row>
    <row r="36" customFormat="false" ht="15" hidden="false" customHeight="false" outlineLevel="0" collapsed="false">
      <c r="A36" s="104"/>
      <c r="B36" s="105"/>
      <c r="C36" s="105"/>
      <c r="D36" s="105"/>
      <c r="E36" s="105"/>
      <c r="F36" s="105"/>
      <c r="G36" s="105"/>
      <c r="H36" s="105"/>
      <c r="I36" s="105"/>
      <c r="J36" s="105"/>
      <c r="K36" s="105"/>
    </row>
    <row r="37" customFormat="false" ht="15" hidden="false" customHeight="false" outlineLevel="0" collapsed="false">
      <c r="A37" s="104"/>
      <c r="B37" s="105"/>
      <c r="C37" s="105"/>
      <c r="D37" s="105"/>
      <c r="E37" s="105"/>
      <c r="F37" s="105"/>
      <c r="G37" s="105"/>
      <c r="H37" s="105"/>
      <c r="I37" s="105"/>
      <c r="J37" s="105"/>
      <c r="K37" s="105"/>
    </row>
    <row r="38" customFormat="false" ht="15" hidden="false" customHeight="false" outlineLevel="0" collapsed="false">
      <c r="A38" s="104"/>
      <c r="B38" s="105"/>
      <c r="C38" s="105"/>
      <c r="D38" s="105"/>
      <c r="E38" s="105"/>
      <c r="F38" s="105"/>
      <c r="G38" s="105"/>
      <c r="H38" s="105"/>
      <c r="I38" s="105"/>
      <c r="J38" s="105"/>
      <c r="K38" s="105"/>
    </row>
    <row r="39" customFormat="false" ht="15" hidden="false" customHeight="false" outlineLevel="0" collapsed="false">
      <c r="A39" s="104"/>
      <c r="B39" s="105"/>
      <c r="C39" s="105"/>
      <c r="D39" s="105"/>
      <c r="E39" s="105"/>
      <c r="F39" s="105"/>
      <c r="G39" s="105"/>
      <c r="H39" s="105"/>
      <c r="I39" s="105"/>
      <c r="J39" s="105"/>
      <c r="K39" s="105"/>
    </row>
    <row r="40" customFormat="false" ht="15" hidden="false" customHeight="false" outlineLevel="0" collapsed="false">
      <c r="A40" s="104"/>
      <c r="B40" s="105"/>
      <c r="C40" s="105"/>
      <c r="D40" s="105"/>
      <c r="E40" s="105"/>
      <c r="F40" s="105"/>
      <c r="G40" s="105"/>
      <c r="H40" s="105"/>
      <c r="I40" s="105"/>
      <c r="J40" s="105"/>
      <c r="K40" s="105"/>
    </row>
    <row r="41" customFormat="false" ht="15" hidden="false" customHeight="false" outlineLevel="0" collapsed="false">
      <c r="A41" s="104"/>
      <c r="B41" s="105"/>
      <c r="C41" s="105"/>
      <c r="D41" s="105"/>
      <c r="E41" s="105"/>
      <c r="F41" s="105"/>
      <c r="G41" s="105"/>
      <c r="H41" s="105"/>
      <c r="I41" s="105"/>
      <c r="J41" s="105"/>
      <c r="K41" s="105"/>
    </row>
    <row r="42" customFormat="false" ht="15" hidden="false" customHeight="false" outlineLevel="0" collapsed="false">
      <c r="A42" s="104"/>
      <c r="B42" s="105"/>
      <c r="C42" s="105"/>
      <c r="D42" s="105"/>
      <c r="E42" s="105"/>
      <c r="F42" s="105"/>
      <c r="G42" s="105"/>
      <c r="H42" s="105"/>
      <c r="I42" s="105"/>
      <c r="J42" s="105"/>
      <c r="K42" s="105"/>
    </row>
    <row r="43" customFormat="false" ht="15" hidden="false" customHeight="false" outlineLevel="0" collapsed="false">
      <c r="A43" s="104"/>
      <c r="B43" s="105"/>
      <c r="C43" s="105"/>
      <c r="D43" s="105"/>
      <c r="E43" s="105"/>
      <c r="F43" s="105"/>
      <c r="G43" s="105"/>
      <c r="H43" s="105"/>
      <c r="I43" s="105"/>
      <c r="J43" s="105"/>
      <c r="K43" s="105"/>
    </row>
    <row r="44" customFormat="false" ht="15" hidden="false" customHeight="false" outlineLevel="0" collapsed="false">
      <c r="A44" s="104"/>
      <c r="B44" s="105"/>
      <c r="C44" s="105"/>
      <c r="D44" s="105"/>
      <c r="E44" s="105"/>
      <c r="F44" s="105"/>
      <c r="G44" s="105"/>
      <c r="H44" s="105"/>
      <c r="I44" s="105"/>
      <c r="J44" s="105"/>
      <c r="K44" s="105"/>
    </row>
    <row r="45" customFormat="false" ht="15" hidden="false" customHeight="false" outlineLevel="0" collapsed="false">
      <c r="A45" s="104"/>
      <c r="B45" s="105"/>
      <c r="C45" s="105"/>
      <c r="D45" s="105"/>
      <c r="E45" s="105"/>
      <c r="F45" s="105"/>
      <c r="G45" s="105"/>
      <c r="H45" s="105"/>
      <c r="I45" s="105"/>
      <c r="J45" s="105"/>
      <c r="K45" s="105"/>
    </row>
    <row r="46" customFormat="false" ht="15" hidden="false" customHeight="false" outlineLevel="0" collapsed="false">
      <c r="A46" s="104"/>
      <c r="B46" s="105"/>
      <c r="C46" s="105"/>
      <c r="D46" s="105"/>
      <c r="E46" s="105"/>
      <c r="F46" s="105"/>
      <c r="G46" s="105"/>
      <c r="H46" s="105"/>
      <c r="I46" s="105"/>
      <c r="J46" s="105"/>
      <c r="K46" s="105"/>
    </row>
    <row r="47" customFormat="false" ht="15" hidden="false" customHeight="false" outlineLevel="0" collapsed="false">
      <c r="A47" s="104"/>
      <c r="B47" s="105"/>
      <c r="C47" s="105"/>
      <c r="D47" s="105"/>
      <c r="E47" s="105"/>
      <c r="F47" s="105"/>
      <c r="G47" s="105"/>
      <c r="H47" s="105"/>
      <c r="I47" s="105"/>
      <c r="J47" s="105"/>
      <c r="K47" s="105"/>
    </row>
    <row r="48" customFormat="false" ht="15" hidden="false" customHeight="false" outlineLevel="0" collapsed="false">
      <c r="A48" s="104"/>
      <c r="B48" s="105"/>
      <c r="C48" s="105"/>
      <c r="D48" s="105"/>
      <c r="E48" s="105"/>
      <c r="F48" s="105"/>
      <c r="G48" s="105"/>
      <c r="H48" s="105"/>
      <c r="I48" s="105"/>
      <c r="J48" s="105"/>
      <c r="K48" s="105"/>
    </row>
    <row r="49" customFormat="false" ht="15" hidden="false" customHeight="false" outlineLevel="0" collapsed="false">
      <c r="A49" s="104"/>
      <c r="B49" s="105"/>
      <c r="C49" s="105"/>
      <c r="D49" s="105"/>
      <c r="E49" s="105"/>
      <c r="F49" s="105"/>
      <c r="G49" s="105"/>
      <c r="H49" s="105"/>
      <c r="I49" s="105"/>
      <c r="J49" s="105"/>
      <c r="K49" s="105"/>
    </row>
    <row r="50" customFormat="false" ht="15" hidden="false" customHeight="false" outlineLevel="0" collapsed="false">
      <c r="A50" s="104"/>
      <c r="B50" s="105"/>
      <c r="C50" s="105"/>
      <c r="D50" s="105"/>
      <c r="E50" s="105"/>
      <c r="F50" s="105"/>
      <c r="G50" s="105"/>
      <c r="H50" s="105"/>
      <c r="I50" s="105"/>
      <c r="J50" s="105"/>
      <c r="K50" s="105"/>
    </row>
    <row r="51" customFormat="false" ht="15" hidden="false" customHeight="false" outlineLevel="0" collapsed="false">
      <c r="A51" s="104"/>
      <c r="B51" s="105"/>
      <c r="C51" s="105"/>
      <c r="D51" s="105"/>
      <c r="E51" s="105"/>
      <c r="F51" s="105"/>
      <c r="G51" s="105"/>
      <c r="H51" s="105"/>
      <c r="I51" s="105"/>
      <c r="J51" s="105"/>
      <c r="K51" s="105"/>
    </row>
    <row r="52" customFormat="false" ht="15" hidden="false" customHeight="false" outlineLevel="0" collapsed="false">
      <c r="A52" s="104"/>
      <c r="B52" s="105"/>
      <c r="C52" s="105"/>
      <c r="D52" s="105"/>
      <c r="E52" s="105"/>
      <c r="F52" s="105"/>
      <c r="G52" s="105"/>
      <c r="H52" s="105"/>
      <c r="I52" s="105"/>
      <c r="J52" s="105"/>
      <c r="K52" s="105"/>
    </row>
    <row r="53" customFormat="false" ht="15" hidden="false" customHeight="false" outlineLevel="0" collapsed="false">
      <c r="A53" s="104"/>
      <c r="B53" s="105"/>
      <c r="C53" s="105"/>
      <c r="D53" s="105"/>
      <c r="E53" s="105"/>
      <c r="F53" s="105"/>
      <c r="G53" s="105"/>
      <c r="H53" s="105"/>
      <c r="I53" s="105"/>
      <c r="J53" s="105"/>
      <c r="K53" s="105"/>
    </row>
    <row r="54" customFormat="false" ht="15" hidden="false" customHeight="false" outlineLevel="0" collapsed="false">
      <c r="A54" s="104"/>
      <c r="B54" s="105"/>
      <c r="C54" s="105"/>
      <c r="D54" s="105"/>
      <c r="E54" s="105"/>
      <c r="F54" s="105"/>
      <c r="G54" s="105"/>
      <c r="H54" s="105"/>
      <c r="I54" s="105"/>
      <c r="J54" s="105"/>
      <c r="K54" s="105"/>
    </row>
    <row r="55" customFormat="false" ht="15" hidden="false" customHeight="false" outlineLevel="0" collapsed="false">
      <c r="A55" s="104"/>
      <c r="B55" s="105"/>
      <c r="C55" s="105"/>
      <c r="D55" s="105"/>
      <c r="E55" s="105"/>
      <c r="F55" s="105"/>
      <c r="G55" s="105"/>
      <c r="H55" s="105"/>
      <c r="I55" s="105"/>
      <c r="J55" s="105"/>
      <c r="K55" s="105"/>
    </row>
    <row r="56" customFormat="false" ht="15" hidden="false" customHeight="false" outlineLevel="0" collapsed="false">
      <c r="A56" s="104"/>
      <c r="B56" s="105"/>
      <c r="C56" s="105"/>
      <c r="D56" s="105"/>
      <c r="E56" s="105"/>
      <c r="F56" s="105"/>
      <c r="G56" s="105"/>
      <c r="H56" s="105"/>
      <c r="I56" s="105"/>
      <c r="J56" s="105"/>
      <c r="K56" s="105"/>
    </row>
    <row r="57" customFormat="false" ht="15" hidden="false" customHeight="false" outlineLevel="0" collapsed="false">
      <c r="A57" s="104"/>
      <c r="B57" s="105"/>
      <c r="C57" s="105"/>
      <c r="D57" s="105"/>
      <c r="E57" s="105"/>
      <c r="F57" s="105"/>
      <c r="G57" s="105"/>
      <c r="H57" s="105"/>
      <c r="I57" s="105"/>
      <c r="J57" s="105"/>
      <c r="K57" s="105"/>
    </row>
    <row r="58" customFormat="false" ht="15" hidden="false" customHeight="false" outlineLevel="0" collapsed="false">
      <c r="A58" s="104"/>
      <c r="B58" s="105"/>
      <c r="C58" s="105"/>
      <c r="D58" s="105"/>
      <c r="E58" s="105"/>
      <c r="F58" s="105"/>
      <c r="G58" s="105"/>
      <c r="H58" s="105"/>
      <c r="I58" s="105"/>
      <c r="J58" s="105"/>
      <c r="K58" s="105"/>
    </row>
    <row r="59" customFormat="false" ht="15" hidden="false" customHeight="false" outlineLevel="0" collapsed="false">
      <c r="A59" s="104"/>
      <c r="B59" s="105"/>
      <c r="C59" s="105"/>
      <c r="D59" s="105"/>
      <c r="E59" s="105"/>
      <c r="F59" s="105"/>
      <c r="G59" s="105"/>
      <c r="H59" s="105"/>
      <c r="I59" s="105"/>
      <c r="J59" s="105"/>
      <c r="K59" s="105"/>
    </row>
    <row r="60" customFormat="false" ht="15" hidden="false" customHeight="false" outlineLevel="0" collapsed="false">
      <c r="A60" s="104"/>
      <c r="B60" s="105"/>
      <c r="C60" s="105"/>
      <c r="D60" s="105"/>
      <c r="E60" s="105"/>
      <c r="F60" s="105"/>
      <c r="G60" s="105"/>
      <c r="H60" s="105"/>
      <c r="I60" s="105"/>
      <c r="J60" s="105"/>
      <c r="K60" s="105"/>
    </row>
    <row r="61" customFormat="false" ht="15" hidden="false" customHeight="false" outlineLevel="0" collapsed="false">
      <c r="A61" s="104"/>
      <c r="B61" s="105"/>
      <c r="C61" s="105"/>
      <c r="D61" s="105"/>
      <c r="E61" s="105"/>
      <c r="F61" s="105"/>
      <c r="G61" s="105"/>
      <c r="H61" s="105"/>
      <c r="I61" s="105"/>
      <c r="J61" s="105"/>
      <c r="K61" s="105"/>
    </row>
    <row r="62" customFormat="false" ht="15" hidden="false" customHeight="false" outlineLevel="0" collapsed="false">
      <c r="A62" s="104"/>
      <c r="B62" s="105"/>
      <c r="C62" s="105"/>
      <c r="D62" s="105"/>
      <c r="E62" s="105"/>
      <c r="F62" s="105"/>
      <c r="G62" s="105"/>
      <c r="H62" s="105"/>
      <c r="I62" s="105"/>
      <c r="J62" s="105"/>
      <c r="K62" s="105"/>
    </row>
    <row r="63" customFormat="false" ht="15" hidden="false" customHeight="false" outlineLevel="0" collapsed="false">
      <c r="A63" s="104"/>
      <c r="B63" s="105"/>
      <c r="C63" s="105"/>
      <c r="D63" s="105"/>
      <c r="E63" s="105"/>
      <c r="F63" s="105"/>
      <c r="G63" s="105"/>
      <c r="H63" s="105"/>
      <c r="I63" s="105"/>
      <c r="J63" s="105"/>
      <c r="K63" s="105"/>
    </row>
    <row r="64" customFormat="false" ht="15" hidden="false" customHeight="false" outlineLevel="0" collapsed="false">
      <c r="A64" s="104"/>
      <c r="B64" s="105"/>
      <c r="C64" s="105"/>
      <c r="D64" s="105"/>
      <c r="E64" s="105"/>
      <c r="F64" s="105"/>
      <c r="G64" s="105"/>
      <c r="H64" s="105"/>
      <c r="I64" s="105"/>
      <c r="J64" s="105"/>
      <c r="K64" s="105"/>
    </row>
    <row r="65" customFormat="false" ht="15" hidden="false" customHeight="false" outlineLevel="0" collapsed="false">
      <c r="A65" s="104"/>
      <c r="B65" s="105"/>
      <c r="C65" s="105"/>
      <c r="D65" s="105"/>
      <c r="E65" s="105"/>
      <c r="F65" s="105"/>
      <c r="G65" s="105"/>
      <c r="H65" s="105"/>
      <c r="I65" s="105"/>
      <c r="J65" s="105"/>
      <c r="K65" s="105"/>
    </row>
    <row r="66" customFormat="false" ht="15" hidden="false" customHeight="false" outlineLevel="0" collapsed="false">
      <c r="A66" s="104"/>
      <c r="B66" s="105"/>
      <c r="C66" s="105"/>
      <c r="D66" s="105"/>
      <c r="E66" s="105"/>
      <c r="F66" s="105"/>
      <c r="G66" s="105"/>
      <c r="H66" s="105"/>
      <c r="I66" s="105"/>
      <c r="J66" s="105"/>
      <c r="K66" s="105"/>
    </row>
    <row r="67" customFormat="false" ht="15" hidden="false" customHeight="false" outlineLevel="0" collapsed="false">
      <c r="A67" s="104"/>
      <c r="B67" s="105"/>
      <c r="C67" s="105"/>
      <c r="D67" s="105"/>
      <c r="E67" s="105"/>
      <c r="F67" s="105"/>
      <c r="G67" s="105"/>
      <c r="H67" s="105"/>
      <c r="I67" s="105"/>
      <c r="J67" s="105"/>
      <c r="K67" s="105"/>
    </row>
    <row r="68" customFormat="false" ht="15" hidden="false" customHeight="false" outlineLevel="0" collapsed="false">
      <c r="A68" s="104"/>
      <c r="B68" s="105"/>
      <c r="C68" s="105"/>
      <c r="D68" s="105"/>
      <c r="E68" s="105"/>
      <c r="F68" s="105"/>
      <c r="G68" s="105"/>
      <c r="H68" s="105"/>
      <c r="I68" s="105"/>
      <c r="J68" s="105"/>
      <c r="K68" s="105"/>
    </row>
    <row r="69" customFormat="false" ht="15" hidden="false" customHeight="false" outlineLevel="0" collapsed="false">
      <c r="A69" s="104"/>
      <c r="B69" s="105"/>
      <c r="C69" s="105"/>
      <c r="D69" s="105"/>
      <c r="E69" s="105"/>
      <c r="F69" s="105"/>
      <c r="G69" s="105"/>
      <c r="H69" s="105"/>
      <c r="I69" s="105"/>
      <c r="J69" s="105"/>
      <c r="K69" s="105"/>
    </row>
    <row r="70" customFormat="false" ht="15" hidden="false" customHeight="false" outlineLevel="0" collapsed="false">
      <c r="A70" s="104"/>
      <c r="B70" s="105"/>
      <c r="C70" s="105"/>
      <c r="D70" s="105"/>
      <c r="E70" s="105"/>
      <c r="F70" s="105"/>
      <c r="G70" s="105"/>
      <c r="H70" s="105"/>
      <c r="I70" s="105"/>
      <c r="J70" s="105"/>
      <c r="K70" s="105"/>
    </row>
    <row r="71" customFormat="false" ht="15" hidden="false" customHeight="false" outlineLevel="0" collapsed="false">
      <c r="A71" s="104"/>
      <c r="B71" s="105"/>
      <c r="C71" s="105"/>
      <c r="D71" s="105"/>
      <c r="E71" s="105"/>
      <c r="F71" s="105"/>
      <c r="G71" s="105"/>
      <c r="H71" s="105"/>
      <c r="I71" s="105"/>
      <c r="J71" s="105"/>
      <c r="K71" s="105"/>
    </row>
    <row r="72" customFormat="false" ht="15" hidden="false" customHeight="false" outlineLevel="0" collapsed="false">
      <c r="A72" s="104"/>
      <c r="B72" s="105"/>
      <c r="C72" s="105"/>
      <c r="D72" s="105"/>
      <c r="E72" s="105"/>
      <c r="F72" s="105"/>
      <c r="G72" s="105"/>
      <c r="H72" s="105"/>
      <c r="I72" s="105"/>
      <c r="J72" s="105"/>
      <c r="K72" s="105"/>
    </row>
    <row r="73" customFormat="false" ht="15" hidden="false" customHeight="false" outlineLevel="0" collapsed="false">
      <c r="A73" s="104"/>
      <c r="B73" s="105"/>
      <c r="C73" s="105"/>
      <c r="D73" s="105"/>
      <c r="E73" s="105"/>
      <c r="F73" s="105"/>
      <c r="G73" s="105"/>
      <c r="H73" s="105"/>
      <c r="I73" s="105"/>
      <c r="J73" s="105"/>
      <c r="K73" s="105"/>
    </row>
    <row r="74" customFormat="false" ht="15" hidden="false" customHeight="false" outlineLevel="0" collapsed="false">
      <c r="A74" s="104"/>
      <c r="B74" s="105"/>
      <c r="C74" s="105"/>
      <c r="D74" s="105"/>
      <c r="E74" s="105"/>
      <c r="F74" s="105"/>
      <c r="G74" s="105"/>
      <c r="H74" s="105"/>
      <c r="I74" s="105"/>
      <c r="J74" s="105"/>
      <c r="K74" s="105"/>
    </row>
    <row r="75" customFormat="false" ht="15" hidden="false" customHeight="false" outlineLevel="0" collapsed="false">
      <c r="A75" s="104"/>
      <c r="B75" s="105"/>
      <c r="C75" s="105"/>
      <c r="D75" s="105"/>
      <c r="E75" s="105"/>
      <c r="F75" s="105"/>
      <c r="G75" s="105"/>
      <c r="H75" s="105"/>
      <c r="I75" s="105"/>
      <c r="J75" s="105"/>
      <c r="K75" s="105"/>
    </row>
    <row r="76" customFormat="false" ht="15" hidden="false" customHeight="false" outlineLevel="0" collapsed="false">
      <c r="A76" s="104"/>
      <c r="B76" s="105"/>
      <c r="C76" s="105"/>
      <c r="D76" s="105"/>
      <c r="E76" s="105"/>
      <c r="F76" s="105"/>
      <c r="G76" s="105"/>
      <c r="H76" s="105"/>
      <c r="I76" s="105"/>
      <c r="J76" s="105"/>
      <c r="K76" s="105"/>
    </row>
    <row r="77" customFormat="false" ht="15" hidden="false" customHeight="false" outlineLevel="0" collapsed="false">
      <c r="A77" s="104"/>
      <c r="B77" s="105"/>
      <c r="C77" s="105"/>
      <c r="D77" s="105"/>
      <c r="E77" s="105"/>
      <c r="F77" s="105"/>
      <c r="G77" s="105"/>
      <c r="H77" s="105"/>
      <c r="I77" s="105"/>
      <c r="J77" s="105"/>
      <c r="K77" s="105"/>
    </row>
    <row r="78" customFormat="false" ht="15" hidden="false" customHeight="false" outlineLevel="0" collapsed="false">
      <c r="A78" s="104"/>
      <c r="B78" s="105"/>
      <c r="C78" s="105"/>
      <c r="D78" s="105"/>
      <c r="E78" s="105"/>
      <c r="F78" s="105"/>
      <c r="G78" s="105"/>
      <c r="H78" s="105"/>
      <c r="I78" s="105"/>
      <c r="J78" s="105"/>
      <c r="K78" s="105"/>
    </row>
    <row r="79" customFormat="false" ht="15" hidden="false" customHeight="false" outlineLevel="0" collapsed="false">
      <c r="A79" s="104"/>
      <c r="B79" s="105"/>
      <c r="C79" s="105"/>
      <c r="D79" s="105"/>
      <c r="E79" s="105"/>
      <c r="F79" s="105"/>
      <c r="G79" s="105"/>
      <c r="H79" s="105"/>
      <c r="I79" s="105"/>
      <c r="J79" s="105"/>
      <c r="K79" s="105"/>
    </row>
    <row r="80" customFormat="false" ht="15" hidden="false" customHeight="false" outlineLevel="0" collapsed="false">
      <c r="A80" s="104"/>
      <c r="B80" s="105"/>
      <c r="C80" s="105"/>
      <c r="D80" s="105"/>
      <c r="E80" s="105"/>
      <c r="F80" s="105"/>
      <c r="G80" s="105"/>
      <c r="H80" s="105"/>
      <c r="I80" s="105"/>
      <c r="J80" s="105"/>
      <c r="K80" s="105"/>
    </row>
    <row r="81" customFormat="false" ht="15" hidden="false" customHeight="false" outlineLevel="0" collapsed="false">
      <c r="A81" s="104"/>
      <c r="B81" s="105"/>
      <c r="C81" s="105"/>
      <c r="D81" s="105"/>
      <c r="E81" s="105"/>
      <c r="F81" s="105"/>
      <c r="G81" s="105"/>
      <c r="H81" s="105"/>
      <c r="I81" s="105"/>
      <c r="J81" s="105"/>
      <c r="K81" s="105"/>
    </row>
    <row r="82" customFormat="false" ht="15" hidden="false" customHeight="false" outlineLevel="0" collapsed="false">
      <c r="A82" s="104"/>
      <c r="B82" s="105"/>
      <c r="C82" s="105"/>
      <c r="D82" s="105"/>
      <c r="E82" s="105"/>
      <c r="F82" s="105"/>
      <c r="G82" s="105"/>
      <c r="H82" s="105"/>
      <c r="I82" s="105"/>
      <c r="J82" s="105"/>
      <c r="K82" s="105"/>
    </row>
    <row r="83" customFormat="false" ht="15" hidden="false" customHeight="false" outlineLevel="0" collapsed="false">
      <c r="A83" s="104"/>
      <c r="B83" s="105"/>
      <c r="C83" s="105"/>
      <c r="D83" s="105"/>
      <c r="E83" s="105"/>
      <c r="F83" s="105"/>
      <c r="G83" s="105"/>
      <c r="H83" s="105"/>
      <c r="I83" s="105"/>
      <c r="J83" s="105"/>
      <c r="K83" s="105"/>
    </row>
    <row r="84" customFormat="false" ht="15" hidden="false" customHeight="false" outlineLevel="0" collapsed="false">
      <c r="A84" s="104"/>
      <c r="B84" s="105"/>
      <c r="C84" s="105"/>
      <c r="D84" s="105"/>
      <c r="E84" s="105"/>
      <c r="F84" s="105"/>
      <c r="G84" s="105"/>
      <c r="H84" s="105"/>
      <c r="I84" s="105"/>
      <c r="J84" s="105"/>
      <c r="K84" s="105"/>
    </row>
    <row r="85" customFormat="false" ht="15" hidden="false" customHeight="false" outlineLevel="0" collapsed="false">
      <c r="A85" s="104"/>
      <c r="B85" s="105"/>
      <c r="C85" s="105"/>
      <c r="D85" s="105"/>
      <c r="E85" s="105"/>
      <c r="F85" s="105"/>
      <c r="G85" s="105"/>
      <c r="H85" s="105"/>
      <c r="I85" s="105"/>
      <c r="J85" s="105"/>
      <c r="K85" s="105"/>
    </row>
    <row r="86" customFormat="false" ht="15" hidden="false" customHeight="false" outlineLevel="0" collapsed="false">
      <c r="A86" s="104"/>
      <c r="B86" s="105"/>
      <c r="C86" s="105"/>
      <c r="D86" s="105"/>
      <c r="E86" s="105"/>
      <c r="F86" s="105"/>
      <c r="G86" s="105"/>
      <c r="H86" s="105"/>
      <c r="I86" s="105"/>
      <c r="J86" s="105"/>
      <c r="K86" s="105"/>
    </row>
    <row r="87" customFormat="false" ht="15" hidden="false" customHeight="false" outlineLevel="0" collapsed="false">
      <c r="A87" s="104"/>
      <c r="B87" s="105"/>
      <c r="C87" s="105"/>
      <c r="D87" s="105"/>
      <c r="E87" s="105"/>
      <c r="F87" s="105"/>
      <c r="G87" s="105"/>
      <c r="H87" s="105"/>
      <c r="I87" s="105"/>
      <c r="J87" s="105"/>
      <c r="K87" s="105"/>
    </row>
    <row r="88" customFormat="false" ht="15" hidden="false" customHeight="false" outlineLevel="0" collapsed="false">
      <c r="A88" s="104"/>
      <c r="B88" s="105"/>
      <c r="C88" s="105"/>
      <c r="D88" s="105"/>
      <c r="E88" s="105"/>
      <c r="F88" s="105"/>
      <c r="G88" s="105"/>
      <c r="H88" s="105"/>
      <c r="I88" s="105"/>
      <c r="J88" s="105"/>
      <c r="K88" s="105"/>
    </row>
    <row r="89" customFormat="false" ht="15" hidden="false" customHeight="false" outlineLevel="0" collapsed="false">
      <c r="A89" s="104"/>
      <c r="B89" s="105"/>
      <c r="C89" s="105"/>
      <c r="D89" s="105"/>
      <c r="E89" s="105"/>
      <c r="F89" s="105"/>
      <c r="G89" s="105"/>
      <c r="H89" s="105"/>
      <c r="I89" s="105"/>
      <c r="J89" s="105"/>
      <c r="K89" s="105"/>
    </row>
    <row r="90" customFormat="false" ht="15" hidden="false" customHeight="false" outlineLevel="0" collapsed="false">
      <c r="A90" s="104"/>
      <c r="B90" s="105"/>
      <c r="C90" s="105"/>
      <c r="D90" s="105"/>
      <c r="E90" s="105"/>
      <c r="F90" s="105"/>
      <c r="G90" s="105"/>
      <c r="H90" s="105"/>
      <c r="I90" s="105"/>
      <c r="J90" s="105"/>
      <c r="K90" s="105"/>
    </row>
    <row r="91" customFormat="false" ht="15" hidden="false" customHeight="false" outlineLevel="0" collapsed="false">
      <c r="A91" s="104"/>
      <c r="B91" s="105"/>
      <c r="C91" s="105"/>
      <c r="D91" s="105"/>
      <c r="E91" s="105"/>
      <c r="F91" s="105"/>
      <c r="G91" s="105"/>
      <c r="H91" s="105"/>
      <c r="I91" s="105"/>
      <c r="J91" s="105"/>
      <c r="K91" s="105"/>
    </row>
    <row r="92" customFormat="false" ht="15" hidden="false" customHeight="false" outlineLevel="0" collapsed="false">
      <c r="A92" s="104"/>
      <c r="B92" s="105"/>
      <c r="C92" s="105"/>
      <c r="D92" s="105"/>
      <c r="E92" s="105"/>
      <c r="F92" s="105"/>
      <c r="G92" s="105"/>
      <c r="H92" s="105"/>
      <c r="I92" s="105"/>
      <c r="J92" s="105"/>
      <c r="K92" s="105"/>
    </row>
    <row r="93" customFormat="false" ht="15" hidden="false" customHeight="false" outlineLevel="0" collapsed="false">
      <c r="A93" s="104"/>
      <c r="B93" s="105"/>
      <c r="C93" s="105"/>
      <c r="D93" s="105"/>
      <c r="E93" s="105"/>
      <c r="F93" s="105"/>
      <c r="G93" s="105"/>
      <c r="H93" s="105"/>
      <c r="I93" s="105"/>
      <c r="J93" s="105"/>
      <c r="K93" s="105"/>
    </row>
    <row r="94" customFormat="false" ht="15" hidden="false" customHeight="false" outlineLevel="0" collapsed="false">
      <c r="A94" s="104"/>
      <c r="B94" s="105"/>
      <c r="C94" s="105"/>
      <c r="D94" s="105"/>
      <c r="E94" s="105"/>
      <c r="F94" s="105"/>
      <c r="G94" s="105"/>
      <c r="H94" s="105"/>
      <c r="I94" s="105"/>
      <c r="J94" s="105"/>
      <c r="K94" s="105"/>
    </row>
    <row r="95" customFormat="false" ht="15" hidden="false" customHeight="false" outlineLevel="0" collapsed="false">
      <c r="A95" s="104"/>
      <c r="B95" s="105"/>
      <c r="C95" s="105"/>
      <c r="D95" s="105"/>
      <c r="E95" s="105"/>
      <c r="F95" s="105"/>
      <c r="G95" s="105"/>
      <c r="H95" s="105"/>
      <c r="I95" s="105"/>
      <c r="J95" s="105"/>
      <c r="K95" s="105"/>
    </row>
    <row r="96" customFormat="false" ht="15" hidden="false" customHeight="false" outlineLevel="0" collapsed="false">
      <c r="A96" s="104"/>
      <c r="B96" s="105"/>
      <c r="C96" s="105"/>
      <c r="D96" s="105"/>
      <c r="E96" s="105"/>
      <c r="F96" s="105"/>
      <c r="G96" s="105"/>
      <c r="H96" s="105"/>
      <c r="I96" s="105"/>
      <c r="J96" s="105"/>
      <c r="K96" s="105"/>
    </row>
    <row r="97" customFormat="false" ht="15" hidden="false" customHeight="false" outlineLevel="0" collapsed="false">
      <c r="A97" s="104"/>
      <c r="B97" s="105"/>
      <c r="C97" s="105"/>
      <c r="D97" s="105"/>
      <c r="E97" s="105"/>
      <c r="F97" s="105"/>
      <c r="G97" s="105"/>
      <c r="H97" s="105"/>
      <c r="I97" s="105"/>
      <c r="J97" s="105"/>
      <c r="K97" s="105"/>
    </row>
    <row r="98" customFormat="false" ht="15" hidden="false" customHeight="false" outlineLevel="0" collapsed="false">
      <c r="A98" s="104"/>
      <c r="B98" s="105"/>
      <c r="C98" s="105"/>
      <c r="D98" s="105"/>
      <c r="E98" s="105"/>
      <c r="F98" s="105"/>
      <c r="G98" s="105"/>
      <c r="H98" s="105"/>
      <c r="I98" s="105"/>
      <c r="J98" s="105"/>
      <c r="K98" s="105"/>
    </row>
    <row r="99" customFormat="false" ht="15" hidden="false" customHeight="false" outlineLevel="0" collapsed="false">
      <c r="A99" s="104"/>
      <c r="B99" s="105"/>
      <c r="C99" s="105"/>
      <c r="D99" s="105"/>
      <c r="E99" s="105"/>
      <c r="F99" s="105"/>
      <c r="G99" s="105"/>
      <c r="H99" s="105"/>
      <c r="I99" s="105"/>
      <c r="J99" s="105"/>
      <c r="K99" s="105"/>
    </row>
    <row r="100" customFormat="false" ht="15" hidden="false" customHeight="false" outlineLevel="0" collapsed="false">
      <c r="A100" s="104"/>
      <c r="B100" s="105"/>
      <c r="C100" s="105"/>
      <c r="D100" s="105"/>
      <c r="E100" s="105"/>
      <c r="F100" s="105"/>
      <c r="G100" s="105"/>
      <c r="H100" s="105"/>
      <c r="I100" s="105"/>
      <c r="J100" s="105"/>
      <c r="K100" s="105"/>
    </row>
    <row r="101" customFormat="false" ht="15" hidden="false" customHeight="false" outlineLevel="0" collapsed="false">
      <c r="A101" s="104"/>
      <c r="B101" s="105"/>
      <c r="C101" s="105"/>
      <c r="D101" s="105"/>
      <c r="E101" s="105"/>
      <c r="F101" s="105"/>
      <c r="G101" s="105"/>
      <c r="H101" s="105"/>
      <c r="I101" s="105"/>
      <c r="J101" s="105"/>
      <c r="K101" s="105"/>
    </row>
    <row r="102" customFormat="false" ht="15" hidden="false" customHeight="false" outlineLevel="0" collapsed="false">
      <c r="A102" s="104"/>
      <c r="B102" s="105"/>
      <c r="C102" s="105"/>
      <c r="D102" s="105"/>
      <c r="E102" s="105"/>
      <c r="F102" s="105"/>
      <c r="G102" s="105"/>
      <c r="H102" s="105"/>
      <c r="I102" s="105"/>
      <c r="J102" s="105"/>
      <c r="K102" s="105"/>
    </row>
    <row r="103" customFormat="false" ht="15" hidden="false" customHeight="false" outlineLevel="0" collapsed="false">
      <c r="A103" s="104"/>
      <c r="B103" s="105"/>
      <c r="C103" s="105"/>
      <c r="D103" s="105"/>
      <c r="E103" s="105"/>
      <c r="F103" s="105"/>
      <c r="G103" s="105"/>
      <c r="H103" s="105"/>
      <c r="I103" s="105"/>
      <c r="J103" s="105"/>
      <c r="K103" s="105"/>
    </row>
    <row r="104" customFormat="false" ht="15" hidden="false" customHeight="false" outlineLevel="0" collapsed="false">
      <c r="A104" s="104"/>
      <c r="B104" s="105"/>
      <c r="C104" s="105"/>
      <c r="D104" s="105"/>
      <c r="E104" s="105"/>
      <c r="F104" s="105"/>
      <c r="G104" s="105"/>
      <c r="H104" s="105"/>
      <c r="I104" s="105"/>
      <c r="J104" s="105"/>
      <c r="K104" s="105"/>
    </row>
    <row r="105" customFormat="false" ht="15" hidden="false" customHeight="false" outlineLevel="0" collapsed="false">
      <c r="A105" s="104"/>
      <c r="B105" s="105"/>
      <c r="C105" s="105"/>
      <c r="D105" s="105"/>
      <c r="E105" s="105"/>
      <c r="F105" s="105"/>
      <c r="G105" s="105"/>
      <c r="H105" s="105"/>
      <c r="I105" s="105"/>
      <c r="J105" s="105"/>
      <c r="K105" s="105"/>
    </row>
    <row r="106" customFormat="false" ht="15" hidden="false" customHeight="false" outlineLevel="0" collapsed="false">
      <c r="A106" s="104"/>
      <c r="B106" s="105"/>
      <c r="C106" s="105"/>
      <c r="D106" s="105"/>
      <c r="E106" s="105"/>
      <c r="F106" s="105"/>
      <c r="G106" s="105"/>
      <c r="H106" s="105"/>
      <c r="I106" s="105"/>
      <c r="J106" s="105"/>
      <c r="K106" s="105"/>
    </row>
    <row r="107" customFormat="false" ht="15" hidden="false" customHeight="false" outlineLevel="0" collapsed="false">
      <c r="A107" s="104"/>
      <c r="B107" s="105"/>
      <c r="C107" s="105"/>
      <c r="D107" s="105"/>
      <c r="E107" s="105"/>
      <c r="F107" s="105"/>
      <c r="G107" s="105"/>
      <c r="H107" s="105"/>
      <c r="I107" s="105"/>
      <c r="J107" s="105"/>
      <c r="K107" s="105"/>
    </row>
    <row r="108" customFormat="false" ht="15" hidden="false" customHeight="false" outlineLevel="0" collapsed="false">
      <c r="A108" s="104"/>
      <c r="B108" s="105"/>
      <c r="C108" s="105"/>
      <c r="D108" s="105"/>
      <c r="E108" s="105"/>
      <c r="F108" s="105"/>
      <c r="G108" s="105"/>
      <c r="H108" s="105"/>
      <c r="I108" s="105"/>
      <c r="J108" s="105"/>
      <c r="K108" s="105"/>
    </row>
    <row r="109" customFormat="false" ht="15" hidden="false" customHeight="false" outlineLevel="0" collapsed="false">
      <c r="A109" s="104"/>
      <c r="B109" s="105"/>
      <c r="C109" s="105"/>
      <c r="D109" s="105"/>
      <c r="E109" s="105"/>
      <c r="F109" s="105"/>
      <c r="G109" s="105"/>
      <c r="H109" s="105"/>
      <c r="I109" s="105"/>
      <c r="J109" s="105"/>
      <c r="K109" s="105"/>
    </row>
    <row r="110" customFormat="false" ht="15" hidden="false" customHeight="false" outlineLevel="0" collapsed="false">
      <c r="A110" s="104"/>
      <c r="B110" s="105"/>
      <c r="C110" s="105"/>
      <c r="D110" s="105"/>
      <c r="E110" s="105"/>
      <c r="F110" s="105"/>
      <c r="G110" s="105"/>
      <c r="H110" s="105"/>
      <c r="I110" s="105"/>
      <c r="J110" s="105"/>
      <c r="K110" s="105"/>
    </row>
    <row r="111" customFormat="false" ht="15" hidden="false" customHeight="false" outlineLevel="0" collapsed="false">
      <c r="A111" s="104"/>
      <c r="B111" s="105"/>
      <c r="C111" s="105"/>
      <c r="D111" s="105"/>
      <c r="E111" s="105"/>
      <c r="F111" s="105"/>
      <c r="G111" s="105"/>
      <c r="H111" s="105"/>
      <c r="I111" s="105"/>
      <c r="J111" s="105"/>
      <c r="K111" s="105"/>
    </row>
    <row r="112" customFormat="false" ht="15" hidden="false" customHeight="false" outlineLevel="0" collapsed="false">
      <c r="A112" s="104"/>
      <c r="B112" s="105"/>
      <c r="C112" s="105"/>
      <c r="D112" s="105"/>
      <c r="E112" s="105"/>
      <c r="F112" s="105"/>
      <c r="G112" s="105"/>
      <c r="H112" s="105"/>
      <c r="I112" s="105"/>
      <c r="J112" s="105"/>
      <c r="K112" s="105"/>
    </row>
    <row r="113" customFormat="false" ht="15" hidden="false" customHeight="false" outlineLevel="0" collapsed="false">
      <c r="A113" s="104"/>
      <c r="B113" s="105"/>
      <c r="C113" s="105"/>
      <c r="D113" s="105"/>
      <c r="E113" s="105"/>
      <c r="F113" s="105"/>
      <c r="G113" s="105"/>
      <c r="H113" s="105"/>
      <c r="I113" s="105"/>
      <c r="J113" s="105"/>
      <c r="K113" s="105"/>
    </row>
    <row r="114" customFormat="false" ht="15" hidden="false" customHeight="false" outlineLevel="0" collapsed="false">
      <c r="A114" s="104"/>
      <c r="B114" s="105"/>
      <c r="C114" s="105"/>
      <c r="D114" s="105"/>
      <c r="E114" s="105"/>
      <c r="F114" s="105"/>
      <c r="G114" s="105"/>
      <c r="H114" s="105"/>
      <c r="I114" s="105"/>
      <c r="J114" s="105"/>
      <c r="K114" s="105"/>
    </row>
    <row r="115" customFormat="false" ht="15" hidden="false" customHeight="false" outlineLevel="0" collapsed="false">
      <c r="A115" s="104"/>
      <c r="B115" s="105"/>
      <c r="C115" s="105"/>
      <c r="D115" s="105"/>
      <c r="E115" s="105"/>
      <c r="F115" s="105"/>
      <c r="G115" s="105"/>
      <c r="H115" s="105"/>
      <c r="I115" s="105"/>
      <c r="J115" s="105"/>
      <c r="K115" s="105"/>
    </row>
    <row r="116" customFormat="false" ht="15" hidden="false" customHeight="false" outlineLevel="0" collapsed="false">
      <c r="A116" s="104"/>
      <c r="B116" s="105"/>
      <c r="C116" s="105"/>
      <c r="D116" s="105"/>
      <c r="E116" s="105"/>
      <c r="F116" s="105"/>
      <c r="G116" s="105"/>
      <c r="H116" s="105"/>
      <c r="I116" s="105"/>
      <c r="J116" s="105"/>
      <c r="K116" s="105"/>
    </row>
    <row r="117" customFormat="false" ht="15" hidden="false" customHeight="false" outlineLevel="0" collapsed="false">
      <c r="A117" s="104"/>
      <c r="B117" s="105"/>
      <c r="C117" s="105"/>
      <c r="D117" s="105"/>
      <c r="E117" s="105"/>
      <c r="F117" s="105"/>
      <c r="G117" s="105"/>
      <c r="H117" s="105"/>
      <c r="I117" s="105"/>
      <c r="J117" s="105"/>
      <c r="K117" s="105"/>
    </row>
    <row r="118" customFormat="false" ht="15" hidden="false" customHeight="false" outlineLevel="0" collapsed="false">
      <c r="A118" s="104"/>
      <c r="B118" s="105"/>
      <c r="C118" s="105"/>
      <c r="D118" s="105"/>
      <c r="E118" s="105"/>
      <c r="F118" s="105"/>
      <c r="G118" s="105"/>
      <c r="H118" s="105"/>
      <c r="I118" s="105"/>
      <c r="J118" s="105"/>
      <c r="K118" s="105"/>
    </row>
    <row r="119" customFormat="false" ht="15" hidden="false" customHeight="false" outlineLevel="0" collapsed="false">
      <c r="A119" s="104"/>
      <c r="B119" s="105"/>
      <c r="C119" s="105"/>
      <c r="D119" s="105"/>
      <c r="E119" s="105"/>
      <c r="F119" s="105"/>
      <c r="G119" s="105"/>
      <c r="H119" s="105"/>
      <c r="I119" s="105"/>
      <c r="J119" s="105"/>
      <c r="K119" s="105"/>
    </row>
    <row r="120" customFormat="false" ht="15" hidden="false" customHeight="false" outlineLevel="0" collapsed="false">
      <c r="A120" s="104"/>
      <c r="B120" s="105"/>
      <c r="C120" s="105"/>
      <c r="D120" s="105"/>
      <c r="E120" s="105"/>
      <c r="F120" s="105"/>
      <c r="G120" s="105"/>
      <c r="H120" s="105"/>
      <c r="I120" s="105"/>
      <c r="J120" s="105"/>
      <c r="K120" s="105"/>
    </row>
    <row r="121" customFormat="false" ht="15" hidden="false" customHeight="false" outlineLevel="0" collapsed="false">
      <c r="A121" s="104"/>
      <c r="B121" s="105"/>
      <c r="C121" s="105"/>
      <c r="D121" s="105"/>
      <c r="E121" s="105"/>
      <c r="F121" s="105"/>
      <c r="G121" s="105"/>
      <c r="H121" s="105"/>
      <c r="I121" s="105"/>
      <c r="J121" s="105"/>
      <c r="K121" s="105"/>
    </row>
    <row r="122" customFormat="false" ht="15" hidden="false" customHeight="false" outlineLevel="0" collapsed="false">
      <c r="A122" s="104"/>
      <c r="B122" s="105"/>
      <c r="C122" s="105"/>
      <c r="D122" s="105"/>
      <c r="E122" s="105"/>
      <c r="F122" s="105"/>
      <c r="G122" s="105"/>
      <c r="H122" s="105"/>
      <c r="I122" s="105"/>
      <c r="J122" s="105"/>
      <c r="K122" s="105"/>
    </row>
    <row r="123" customFormat="false" ht="15" hidden="false" customHeight="false" outlineLevel="0" collapsed="false">
      <c r="A123" s="104"/>
      <c r="B123" s="105"/>
      <c r="C123" s="105"/>
      <c r="D123" s="105"/>
      <c r="E123" s="105"/>
      <c r="F123" s="105"/>
      <c r="G123" s="105"/>
      <c r="H123" s="105"/>
      <c r="I123" s="105"/>
      <c r="J123" s="105"/>
      <c r="K123" s="105"/>
    </row>
    <row r="124" customFormat="false" ht="15" hidden="false" customHeight="false" outlineLevel="0" collapsed="false">
      <c r="A124" s="104"/>
      <c r="B124" s="105"/>
      <c r="C124" s="105"/>
      <c r="D124" s="105"/>
      <c r="E124" s="105"/>
      <c r="F124" s="105"/>
      <c r="G124" s="105"/>
      <c r="H124" s="105"/>
      <c r="I124" s="105"/>
      <c r="J124" s="105"/>
      <c r="K124" s="105"/>
    </row>
    <row r="125" customFormat="false" ht="15" hidden="false" customHeight="false" outlineLevel="0" collapsed="false">
      <c r="A125" s="104"/>
      <c r="B125" s="105"/>
      <c r="C125" s="105"/>
      <c r="D125" s="105"/>
      <c r="E125" s="105"/>
      <c r="F125" s="105"/>
      <c r="G125" s="105"/>
      <c r="H125" s="105"/>
      <c r="I125" s="105"/>
      <c r="J125" s="105"/>
      <c r="K125" s="105"/>
    </row>
    <row r="126" customFormat="false" ht="15" hidden="false" customHeight="false" outlineLevel="0" collapsed="false">
      <c r="A126" s="104"/>
      <c r="B126" s="105"/>
      <c r="C126" s="105"/>
      <c r="D126" s="105"/>
      <c r="E126" s="105"/>
      <c r="F126" s="105"/>
      <c r="G126" s="105"/>
      <c r="H126" s="105"/>
      <c r="I126" s="105"/>
      <c r="J126" s="105"/>
      <c r="K126" s="105"/>
    </row>
    <row r="127" customFormat="false" ht="15" hidden="false" customHeight="false" outlineLevel="0" collapsed="false">
      <c r="A127" s="104"/>
      <c r="B127" s="105"/>
      <c r="C127" s="105"/>
      <c r="D127" s="105"/>
      <c r="E127" s="105"/>
      <c r="F127" s="105"/>
      <c r="G127" s="105"/>
      <c r="H127" s="105"/>
      <c r="I127" s="105"/>
      <c r="J127" s="105"/>
      <c r="K127" s="105"/>
    </row>
    <row r="128" customFormat="false" ht="15" hidden="false" customHeight="false" outlineLevel="0" collapsed="false">
      <c r="A128" s="104"/>
      <c r="B128" s="105"/>
      <c r="C128" s="105"/>
      <c r="D128" s="105"/>
      <c r="E128" s="105"/>
      <c r="F128" s="105"/>
      <c r="G128" s="105"/>
      <c r="H128" s="105"/>
      <c r="I128" s="105"/>
      <c r="J128" s="105"/>
      <c r="K128" s="105"/>
    </row>
    <row r="129" customFormat="false" ht="15" hidden="false" customHeight="false" outlineLevel="0" collapsed="false">
      <c r="A129" s="104"/>
      <c r="B129" s="105"/>
      <c r="C129" s="105"/>
      <c r="D129" s="105"/>
      <c r="E129" s="105"/>
      <c r="F129" s="105"/>
      <c r="G129" s="105"/>
      <c r="H129" s="105"/>
      <c r="I129" s="105"/>
      <c r="J129" s="105"/>
      <c r="K129" s="105"/>
    </row>
    <row r="130" customFormat="false" ht="15" hidden="false" customHeight="false" outlineLevel="0" collapsed="false">
      <c r="A130" s="104"/>
      <c r="B130" s="105"/>
      <c r="C130" s="105"/>
      <c r="D130" s="105"/>
      <c r="E130" s="105"/>
      <c r="F130" s="105"/>
      <c r="G130" s="105"/>
      <c r="H130" s="105"/>
      <c r="I130" s="105"/>
      <c r="J130" s="105"/>
      <c r="K130" s="105"/>
    </row>
    <row r="131" customFormat="false" ht="15" hidden="false" customHeight="false" outlineLevel="0" collapsed="false">
      <c r="A131" s="104"/>
      <c r="B131" s="105"/>
      <c r="C131" s="105"/>
      <c r="D131" s="105"/>
      <c r="E131" s="105"/>
      <c r="F131" s="105"/>
      <c r="G131" s="105"/>
      <c r="H131" s="105"/>
      <c r="I131" s="105"/>
      <c r="J131" s="105"/>
      <c r="K131" s="105"/>
    </row>
    <row r="132" customFormat="false" ht="15" hidden="false" customHeight="false" outlineLevel="0" collapsed="false">
      <c r="A132" s="104"/>
      <c r="B132" s="105"/>
      <c r="C132" s="105"/>
      <c r="D132" s="105"/>
      <c r="E132" s="105"/>
      <c r="F132" s="105"/>
      <c r="G132" s="105"/>
      <c r="H132" s="105"/>
      <c r="I132" s="105"/>
      <c r="J132" s="105"/>
      <c r="K132" s="105"/>
    </row>
    <row r="133" customFormat="false" ht="15" hidden="false" customHeight="false" outlineLevel="0" collapsed="false">
      <c r="A133" s="104"/>
      <c r="B133" s="105"/>
      <c r="C133" s="105"/>
      <c r="D133" s="105"/>
      <c r="E133" s="105"/>
      <c r="F133" s="105"/>
      <c r="G133" s="105"/>
      <c r="H133" s="105"/>
      <c r="I133" s="105"/>
      <c r="J133" s="105"/>
      <c r="K133" s="105"/>
    </row>
    <row r="134" customFormat="false" ht="15" hidden="false" customHeight="false" outlineLevel="0" collapsed="false">
      <c r="A134" s="104"/>
      <c r="B134" s="105"/>
      <c r="C134" s="105"/>
      <c r="D134" s="105"/>
      <c r="E134" s="105"/>
      <c r="F134" s="105"/>
      <c r="G134" s="105"/>
      <c r="H134" s="105"/>
      <c r="I134" s="105"/>
      <c r="J134" s="105"/>
      <c r="K134" s="105"/>
    </row>
    <row r="135" customFormat="false" ht="15" hidden="false" customHeight="false" outlineLevel="0" collapsed="false">
      <c r="A135" s="104"/>
      <c r="B135" s="105"/>
      <c r="C135" s="105"/>
      <c r="D135" s="105"/>
      <c r="E135" s="105"/>
      <c r="F135" s="105"/>
      <c r="G135" s="105"/>
      <c r="H135" s="105"/>
      <c r="I135" s="105"/>
      <c r="J135" s="105"/>
      <c r="K135" s="105"/>
    </row>
    <row r="136" customFormat="false" ht="15" hidden="false" customHeight="false" outlineLevel="0" collapsed="false">
      <c r="A136" s="104"/>
      <c r="B136" s="105"/>
      <c r="C136" s="105"/>
      <c r="D136" s="105"/>
      <c r="E136" s="105"/>
      <c r="F136" s="105"/>
      <c r="G136" s="105"/>
      <c r="H136" s="105"/>
      <c r="I136" s="105"/>
      <c r="J136" s="105"/>
      <c r="K136" s="105"/>
    </row>
    <row r="137" customFormat="false" ht="15" hidden="false" customHeight="false" outlineLevel="0" collapsed="false">
      <c r="A137" s="104"/>
      <c r="B137" s="105"/>
      <c r="C137" s="105"/>
      <c r="D137" s="105"/>
      <c r="E137" s="105"/>
      <c r="F137" s="105"/>
      <c r="G137" s="105"/>
      <c r="H137" s="105"/>
      <c r="I137" s="105"/>
      <c r="J137" s="105"/>
      <c r="K137" s="105"/>
    </row>
    <row r="138" customFormat="false" ht="15" hidden="false" customHeight="false" outlineLevel="0" collapsed="false">
      <c r="A138" s="104"/>
      <c r="B138" s="105"/>
      <c r="C138" s="105"/>
      <c r="D138" s="105"/>
      <c r="E138" s="105"/>
      <c r="F138" s="105"/>
      <c r="G138" s="105"/>
      <c r="H138" s="105"/>
      <c r="I138" s="105"/>
      <c r="J138" s="105"/>
      <c r="K138" s="105"/>
    </row>
    <row r="139" customFormat="false" ht="15" hidden="false" customHeight="false" outlineLevel="0" collapsed="false">
      <c r="A139" s="104"/>
      <c r="B139" s="105"/>
      <c r="C139" s="105"/>
      <c r="D139" s="105"/>
      <c r="E139" s="105"/>
      <c r="F139" s="105"/>
      <c r="G139" s="105"/>
      <c r="H139" s="105"/>
      <c r="I139" s="105"/>
      <c r="J139" s="105"/>
      <c r="K139" s="105"/>
    </row>
    <row r="140" customFormat="false" ht="15" hidden="false" customHeight="false" outlineLevel="0" collapsed="false">
      <c r="A140" s="104"/>
      <c r="B140" s="105"/>
      <c r="C140" s="105"/>
      <c r="D140" s="105"/>
      <c r="E140" s="105"/>
      <c r="F140" s="105"/>
      <c r="G140" s="105"/>
      <c r="H140" s="105"/>
      <c r="I140" s="105"/>
      <c r="J140" s="105"/>
      <c r="K140" s="105"/>
    </row>
    <row r="141" customFormat="false" ht="15" hidden="false" customHeight="false" outlineLevel="0" collapsed="false">
      <c r="A141" s="104"/>
      <c r="B141" s="105"/>
      <c r="C141" s="105"/>
      <c r="D141" s="105"/>
      <c r="E141" s="105"/>
      <c r="F141" s="105"/>
      <c r="G141" s="105"/>
      <c r="H141" s="105"/>
      <c r="I141" s="105"/>
      <c r="J141" s="105"/>
      <c r="K141" s="105"/>
    </row>
    <row r="142" customFormat="false" ht="15" hidden="false" customHeight="false" outlineLevel="0" collapsed="false">
      <c r="A142" s="104"/>
      <c r="B142" s="105"/>
      <c r="C142" s="105"/>
      <c r="D142" s="105"/>
      <c r="E142" s="105"/>
      <c r="F142" s="105"/>
      <c r="G142" s="105"/>
      <c r="H142" s="105"/>
      <c r="I142" s="105"/>
      <c r="J142" s="105"/>
      <c r="K142" s="105"/>
    </row>
    <row r="143" customFormat="false" ht="15" hidden="false" customHeight="false" outlineLevel="0" collapsed="false">
      <c r="A143" s="104"/>
      <c r="B143" s="105"/>
      <c r="C143" s="105"/>
      <c r="D143" s="105"/>
      <c r="E143" s="105"/>
      <c r="F143" s="105"/>
      <c r="G143" s="105"/>
      <c r="H143" s="105"/>
      <c r="I143" s="105"/>
      <c r="J143" s="105"/>
      <c r="K143" s="105"/>
    </row>
    <row r="144" customFormat="false" ht="15" hidden="false" customHeight="false" outlineLevel="0" collapsed="false">
      <c r="A144" s="104"/>
      <c r="B144" s="105"/>
      <c r="C144" s="105"/>
      <c r="D144" s="105"/>
      <c r="E144" s="105"/>
      <c r="F144" s="105"/>
      <c r="G144" s="105"/>
      <c r="H144" s="105"/>
      <c r="I144" s="105"/>
      <c r="J144" s="105"/>
      <c r="K144" s="105"/>
    </row>
    <row r="145" customFormat="false" ht="15" hidden="false" customHeight="false" outlineLevel="0" collapsed="false">
      <c r="A145" s="104"/>
      <c r="B145" s="105"/>
      <c r="C145" s="105"/>
      <c r="D145" s="105"/>
      <c r="E145" s="105"/>
      <c r="F145" s="105"/>
      <c r="G145" s="105"/>
      <c r="H145" s="105"/>
      <c r="I145" s="105"/>
      <c r="J145" s="105"/>
      <c r="K145" s="105"/>
    </row>
    <row r="146" customFormat="false" ht="15" hidden="false" customHeight="false" outlineLevel="0" collapsed="false">
      <c r="A146" s="104"/>
      <c r="B146" s="105"/>
      <c r="C146" s="105"/>
      <c r="D146" s="105"/>
      <c r="E146" s="105"/>
      <c r="F146" s="105"/>
      <c r="G146" s="105"/>
      <c r="H146" s="105"/>
      <c r="I146" s="105"/>
      <c r="J146" s="105"/>
      <c r="K146" s="105"/>
    </row>
    <row r="147" customFormat="false" ht="15" hidden="false" customHeight="false" outlineLevel="0" collapsed="false">
      <c r="A147" s="104"/>
      <c r="B147" s="105"/>
      <c r="C147" s="105"/>
      <c r="D147" s="105"/>
      <c r="E147" s="105"/>
      <c r="F147" s="105"/>
      <c r="G147" s="105"/>
      <c r="H147" s="105"/>
      <c r="I147" s="105"/>
      <c r="J147" s="105"/>
      <c r="K147" s="105"/>
    </row>
    <row r="148" customFormat="false" ht="15" hidden="false" customHeight="false" outlineLevel="0" collapsed="false">
      <c r="A148" s="104"/>
      <c r="B148" s="105"/>
      <c r="C148" s="105"/>
      <c r="D148" s="105"/>
      <c r="E148" s="105"/>
      <c r="F148" s="105"/>
      <c r="G148" s="105"/>
      <c r="H148" s="105"/>
      <c r="I148" s="105"/>
      <c r="J148" s="105"/>
      <c r="K148" s="105"/>
    </row>
    <row r="149" customFormat="false" ht="15" hidden="false" customHeight="false" outlineLevel="0" collapsed="false">
      <c r="A149" s="104"/>
      <c r="B149" s="105"/>
      <c r="C149" s="105"/>
      <c r="D149" s="105"/>
      <c r="E149" s="105"/>
      <c r="F149" s="105"/>
      <c r="G149" s="105"/>
      <c r="H149" s="105"/>
      <c r="I149" s="105"/>
      <c r="J149" s="105"/>
      <c r="K149" s="105"/>
    </row>
    <row r="150" customFormat="false" ht="15" hidden="false" customHeight="false" outlineLevel="0" collapsed="false">
      <c r="A150" s="104"/>
      <c r="B150" s="105"/>
      <c r="C150" s="105"/>
      <c r="D150" s="105"/>
      <c r="E150" s="105"/>
      <c r="F150" s="105"/>
      <c r="G150" s="105"/>
      <c r="H150" s="105"/>
      <c r="I150" s="105"/>
      <c r="J150" s="105"/>
      <c r="K150" s="105"/>
    </row>
    <row r="151" customFormat="false" ht="15" hidden="false" customHeight="false" outlineLevel="0" collapsed="false">
      <c r="A151" s="104"/>
      <c r="B151" s="105"/>
      <c r="C151" s="105"/>
      <c r="D151" s="105"/>
      <c r="E151" s="105"/>
      <c r="F151" s="105"/>
      <c r="G151" s="105"/>
      <c r="H151" s="105"/>
      <c r="I151" s="105"/>
      <c r="J151" s="105"/>
      <c r="K151" s="105"/>
    </row>
    <row r="152" customFormat="false" ht="15" hidden="false" customHeight="false" outlineLevel="0" collapsed="false">
      <c r="A152" s="104"/>
      <c r="B152" s="105"/>
      <c r="C152" s="105"/>
      <c r="D152" s="105"/>
      <c r="E152" s="105"/>
      <c r="F152" s="105"/>
      <c r="G152" s="105"/>
      <c r="H152" s="105"/>
      <c r="I152" s="105"/>
      <c r="J152" s="105"/>
      <c r="K152" s="105"/>
    </row>
    <row r="153" customFormat="false" ht="15" hidden="false" customHeight="false" outlineLevel="0" collapsed="false">
      <c r="A153" s="104"/>
      <c r="B153" s="105"/>
      <c r="C153" s="105"/>
      <c r="D153" s="105"/>
      <c r="E153" s="105"/>
      <c r="F153" s="105"/>
      <c r="G153" s="105"/>
      <c r="H153" s="105"/>
      <c r="I153" s="105"/>
      <c r="J153" s="105"/>
      <c r="K153" s="105"/>
    </row>
    <row r="154" customFormat="false" ht="15" hidden="false" customHeight="false" outlineLevel="0" collapsed="false">
      <c r="A154" s="104"/>
      <c r="B154" s="105"/>
      <c r="C154" s="105"/>
      <c r="D154" s="105"/>
      <c r="E154" s="105"/>
      <c r="F154" s="105"/>
      <c r="G154" s="105"/>
      <c r="H154" s="105"/>
      <c r="I154" s="105"/>
      <c r="J154" s="105"/>
      <c r="K154" s="105"/>
    </row>
    <row r="155" customFormat="false" ht="15" hidden="false" customHeight="false" outlineLevel="0" collapsed="false">
      <c r="A155" s="104"/>
      <c r="B155" s="105"/>
      <c r="C155" s="105"/>
      <c r="D155" s="105"/>
      <c r="E155" s="105"/>
      <c r="F155" s="105"/>
      <c r="G155" s="105"/>
      <c r="H155" s="105"/>
      <c r="I155" s="105"/>
      <c r="J155" s="105"/>
      <c r="K155" s="105"/>
    </row>
    <row r="156" customFormat="false" ht="15" hidden="false" customHeight="false" outlineLevel="0" collapsed="false">
      <c r="A156" s="104"/>
      <c r="B156" s="105"/>
      <c r="C156" s="105"/>
      <c r="D156" s="105"/>
      <c r="E156" s="105"/>
      <c r="F156" s="105"/>
      <c r="G156" s="105"/>
      <c r="H156" s="105"/>
      <c r="I156" s="105"/>
      <c r="J156" s="105"/>
      <c r="K156" s="105"/>
    </row>
    <row r="157" customFormat="false" ht="15" hidden="false" customHeight="false" outlineLevel="0" collapsed="false">
      <c r="A157" s="104"/>
      <c r="B157" s="105"/>
      <c r="C157" s="105"/>
      <c r="D157" s="105"/>
      <c r="E157" s="105"/>
      <c r="F157" s="105"/>
      <c r="G157" s="105"/>
      <c r="H157" s="105"/>
      <c r="I157" s="105"/>
      <c r="J157" s="105"/>
      <c r="K157" s="105"/>
    </row>
    <row r="158" customFormat="false" ht="15" hidden="false" customHeight="false" outlineLevel="0" collapsed="false">
      <c r="A158" s="104"/>
      <c r="B158" s="105"/>
      <c r="C158" s="105"/>
      <c r="D158" s="105"/>
      <c r="E158" s="105"/>
      <c r="F158" s="105"/>
      <c r="G158" s="105"/>
      <c r="H158" s="105"/>
      <c r="I158" s="105"/>
      <c r="J158" s="105"/>
      <c r="K158" s="105"/>
    </row>
    <row r="159" customFormat="false" ht="15" hidden="false" customHeight="false" outlineLevel="0" collapsed="false">
      <c r="A159" s="104"/>
      <c r="B159" s="105"/>
      <c r="C159" s="105"/>
      <c r="D159" s="105"/>
      <c r="E159" s="105"/>
      <c r="F159" s="105"/>
      <c r="G159" s="105"/>
      <c r="H159" s="105"/>
      <c r="I159" s="105"/>
      <c r="J159" s="105"/>
      <c r="K159" s="105"/>
    </row>
    <row r="160" customFormat="false" ht="15" hidden="false" customHeight="false" outlineLevel="0" collapsed="false">
      <c r="A160" s="104"/>
      <c r="B160" s="105"/>
      <c r="C160" s="105"/>
      <c r="D160" s="105"/>
      <c r="E160" s="105"/>
      <c r="F160" s="105"/>
      <c r="G160" s="105"/>
      <c r="H160" s="105"/>
      <c r="I160" s="105"/>
      <c r="J160" s="105"/>
      <c r="K160" s="105"/>
    </row>
    <row r="161" customFormat="false" ht="15" hidden="false" customHeight="false" outlineLevel="0" collapsed="false">
      <c r="A161" s="104"/>
      <c r="B161" s="105"/>
      <c r="C161" s="105"/>
      <c r="D161" s="105"/>
      <c r="E161" s="105"/>
      <c r="F161" s="105"/>
      <c r="G161" s="105"/>
      <c r="H161" s="105"/>
      <c r="I161" s="105"/>
      <c r="J161" s="105"/>
      <c r="K161" s="105"/>
    </row>
    <row r="162" customFormat="false" ht="15" hidden="false" customHeight="false" outlineLevel="0" collapsed="false">
      <c r="A162" s="104"/>
      <c r="B162" s="105"/>
      <c r="C162" s="105"/>
      <c r="D162" s="105"/>
      <c r="E162" s="105"/>
      <c r="F162" s="105"/>
      <c r="G162" s="105"/>
      <c r="H162" s="105"/>
      <c r="I162" s="105"/>
      <c r="J162" s="105"/>
      <c r="K162" s="105"/>
    </row>
    <row r="163" customFormat="false" ht="15" hidden="false" customHeight="false" outlineLevel="0" collapsed="false">
      <c r="A163" s="104"/>
      <c r="B163" s="105"/>
      <c r="C163" s="105"/>
      <c r="D163" s="105"/>
      <c r="E163" s="105"/>
      <c r="F163" s="105"/>
      <c r="G163" s="105"/>
      <c r="H163" s="105"/>
      <c r="I163" s="105"/>
      <c r="J163" s="105"/>
      <c r="K163" s="105"/>
    </row>
    <row r="164" customFormat="false" ht="15" hidden="false" customHeight="false" outlineLevel="0" collapsed="false">
      <c r="A164" s="104"/>
      <c r="B164" s="105"/>
      <c r="C164" s="105"/>
      <c r="D164" s="105"/>
      <c r="E164" s="105"/>
      <c r="F164" s="105"/>
      <c r="G164" s="105"/>
      <c r="H164" s="105"/>
      <c r="I164" s="105"/>
      <c r="J164" s="105"/>
      <c r="K164" s="105"/>
    </row>
    <row r="165" customFormat="false" ht="15" hidden="false" customHeight="false" outlineLevel="0" collapsed="false">
      <c r="A165" s="104"/>
      <c r="B165" s="105"/>
      <c r="C165" s="105"/>
      <c r="D165" s="105"/>
      <c r="E165" s="105"/>
      <c r="F165" s="105"/>
      <c r="G165" s="105"/>
      <c r="H165" s="105"/>
      <c r="I165" s="105"/>
      <c r="J165" s="105"/>
      <c r="K165" s="105"/>
    </row>
    <row r="166" customFormat="false" ht="15" hidden="false" customHeight="false" outlineLevel="0" collapsed="false">
      <c r="A166" s="104"/>
      <c r="B166" s="105"/>
      <c r="C166" s="105"/>
      <c r="D166" s="105"/>
      <c r="E166" s="105"/>
      <c r="F166" s="105"/>
      <c r="G166" s="105"/>
      <c r="H166" s="105"/>
      <c r="I166" s="105"/>
      <c r="J166" s="105"/>
      <c r="K166" s="105"/>
    </row>
    <row r="167" customFormat="false" ht="15" hidden="false" customHeight="false" outlineLevel="0" collapsed="false">
      <c r="A167" s="104"/>
      <c r="B167" s="105"/>
      <c r="C167" s="105"/>
      <c r="D167" s="105"/>
      <c r="E167" s="105"/>
      <c r="F167" s="105"/>
      <c r="G167" s="105"/>
      <c r="H167" s="105"/>
      <c r="I167" s="105"/>
      <c r="J167" s="105"/>
      <c r="K167" s="105"/>
    </row>
    <row r="168" customFormat="false" ht="15" hidden="false" customHeight="false" outlineLevel="0" collapsed="false">
      <c r="A168" s="104"/>
      <c r="B168" s="105"/>
      <c r="C168" s="105"/>
      <c r="D168" s="105"/>
      <c r="E168" s="105"/>
      <c r="F168" s="105"/>
      <c r="G168" s="105"/>
      <c r="H168" s="105"/>
      <c r="I168" s="105"/>
      <c r="J168" s="105"/>
      <c r="K168" s="105"/>
    </row>
    <row r="169" customFormat="false" ht="15" hidden="false" customHeight="false" outlineLevel="0" collapsed="false">
      <c r="A169" s="104"/>
      <c r="B169" s="105"/>
      <c r="C169" s="105"/>
      <c r="D169" s="105"/>
      <c r="E169" s="105"/>
      <c r="F169" s="105"/>
      <c r="G169" s="105"/>
      <c r="H169" s="105"/>
      <c r="I169" s="105"/>
      <c r="J169" s="105"/>
      <c r="K169" s="105"/>
    </row>
    <row r="170" customFormat="false" ht="15" hidden="false" customHeight="false" outlineLevel="0" collapsed="false">
      <c r="A170" s="104"/>
      <c r="B170" s="105"/>
      <c r="C170" s="105"/>
      <c r="D170" s="105"/>
      <c r="E170" s="105"/>
      <c r="F170" s="105"/>
      <c r="G170" s="105"/>
      <c r="H170" s="105"/>
      <c r="I170" s="105"/>
      <c r="J170" s="105"/>
      <c r="K170" s="105"/>
    </row>
    <row r="171" customFormat="false" ht="15" hidden="false" customHeight="false" outlineLevel="0" collapsed="false">
      <c r="A171" s="104"/>
      <c r="B171" s="105"/>
      <c r="C171" s="105"/>
      <c r="D171" s="105"/>
      <c r="E171" s="105"/>
      <c r="F171" s="105"/>
      <c r="G171" s="105"/>
      <c r="H171" s="105"/>
      <c r="I171" s="105"/>
      <c r="J171" s="105"/>
      <c r="K171" s="105"/>
    </row>
    <row r="172" customFormat="false" ht="15" hidden="false" customHeight="false" outlineLevel="0" collapsed="false">
      <c r="A172" s="104"/>
      <c r="B172" s="105"/>
      <c r="C172" s="105"/>
      <c r="D172" s="105"/>
      <c r="E172" s="105"/>
      <c r="F172" s="105"/>
      <c r="G172" s="105"/>
      <c r="H172" s="105"/>
      <c r="I172" s="105"/>
      <c r="J172" s="105"/>
      <c r="K172" s="105"/>
    </row>
    <row r="173" customFormat="false" ht="15" hidden="false" customHeight="false" outlineLevel="0" collapsed="false">
      <c r="A173" s="104"/>
      <c r="B173" s="105"/>
      <c r="C173" s="105"/>
      <c r="D173" s="105"/>
      <c r="E173" s="105"/>
      <c r="F173" s="105"/>
      <c r="G173" s="105"/>
      <c r="H173" s="105"/>
      <c r="I173" s="105"/>
      <c r="J173" s="105"/>
      <c r="K173" s="105"/>
    </row>
    <row r="174" customFormat="false" ht="15" hidden="false" customHeight="false" outlineLevel="0" collapsed="false">
      <c r="A174" s="104"/>
      <c r="B174" s="105"/>
      <c r="C174" s="105"/>
      <c r="D174" s="105"/>
      <c r="E174" s="105"/>
      <c r="F174" s="105"/>
      <c r="G174" s="105"/>
      <c r="H174" s="105"/>
      <c r="I174" s="105"/>
      <c r="J174" s="105"/>
      <c r="K174" s="105"/>
    </row>
    <row r="175" customFormat="false" ht="15" hidden="false" customHeight="false" outlineLevel="0" collapsed="false">
      <c r="A175" s="104"/>
      <c r="B175" s="105"/>
      <c r="C175" s="105"/>
      <c r="D175" s="105"/>
      <c r="E175" s="105"/>
      <c r="F175" s="105"/>
      <c r="G175" s="105"/>
      <c r="H175" s="105"/>
      <c r="I175" s="105"/>
      <c r="J175" s="105"/>
      <c r="K175" s="105"/>
    </row>
    <row r="176" customFormat="false" ht="15" hidden="false" customHeight="false" outlineLevel="0" collapsed="false">
      <c r="A176" s="104"/>
      <c r="B176" s="105"/>
      <c r="C176" s="105"/>
      <c r="D176" s="105"/>
      <c r="E176" s="105"/>
      <c r="F176" s="105"/>
      <c r="G176" s="105"/>
      <c r="H176" s="105"/>
      <c r="I176" s="105"/>
      <c r="J176" s="105"/>
      <c r="K176" s="105"/>
    </row>
    <row r="177" customFormat="false" ht="15" hidden="false" customHeight="false" outlineLevel="0" collapsed="false">
      <c r="A177" s="104"/>
      <c r="B177" s="105"/>
      <c r="C177" s="105"/>
      <c r="D177" s="105"/>
      <c r="E177" s="105"/>
      <c r="F177" s="105"/>
      <c r="G177" s="105"/>
      <c r="H177" s="105"/>
      <c r="I177" s="105"/>
      <c r="J177" s="105"/>
      <c r="K177" s="105"/>
    </row>
    <row r="178" customFormat="false" ht="15" hidden="false" customHeight="false" outlineLevel="0" collapsed="false">
      <c r="A178" s="104"/>
      <c r="B178" s="105"/>
      <c r="C178" s="105"/>
      <c r="D178" s="105"/>
      <c r="E178" s="105"/>
      <c r="F178" s="105"/>
      <c r="G178" s="105"/>
      <c r="H178" s="105"/>
      <c r="I178" s="105"/>
      <c r="J178" s="105"/>
      <c r="K178" s="105"/>
    </row>
    <row r="179" customFormat="false" ht="15" hidden="false" customHeight="false" outlineLevel="0" collapsed="false">
      <c r="A179" s="104"/>
      <c r="B179" s="105"/>
      <c r="C179" s="105"/>
      <c r="D179" s="105"/>
      <c r="E179" s="105"/>
      <c r="F179" s="105"/>
      <c r="G179" s="105"/>
      <c r="H179" s="105"/>
      <c r="I179" s="105"/>
      <c r="J179" s="105"/>
      <c r="K179" s="105"/>
    </row>
    <row r="180" customFormat="false" ht="15" hidden="false" customHeight="false" outlineLevel="0" collapsed="false">
      <c r="A180" s="104"/>
      <c r="B180" s="105"/>
      <c r="C180" s="105"/>
      <c r="D180" s="105"/>
      <c r="E180" s="105"/>
      <c r="F180" s="105"/>
      <c r="G180" s="105"/>
      <c r="H180" s="105"/>
      <c r="I180" s="105"/>
      <c r="J180" s="105"/>
      <c r="K180" s="105"/>
    </row>
    <row r="181" customFormat="false" ht="15" hidden="false" customHeight="false" outlineLevel="0" collapsed="false">
      <c r="A181" s="104"/>
      <c r="B181" s="105"/>
      <c r="C181" s="105"/>
      <c r="D181" s="105"/>
      <c r="E181" s="105"/>
      <c r="F181" s="105"/>
      <c r="G181" s="105"/>
      <c r="H181" s="105"/>
      <c r="I181" s="105"/>
      <c r="J181" s="105"/>
      <c r="K181" s="105"/>
    </row>
    <row r="182" customFormat="false" ht="15" hidden="false" customHeight="false" outlineLevel="0" collapsed="false">
      <c r="A182" s="104"/>
      <c r="B182" s="105"/>
      <c r="C182" s="105"/>
      <c r="D182" s="105"/>
      <c r="E182" s="105"/>
      <c r="F182" s="105"/>
      <c r="G182" s="105"/>
      <c r="H182" s="105"/>
      <c r="I182" s="105"/>
      <c r="J182" s="105"/>
      <c r="K182" s="105"/>
    </row>
    <row r="183" customFormat="false" ht="15" hidden="false" customHeight="false" outlineLevel="0" collapsed="false">
      <c r="A183" s="104"/>
      <c r="B183" s="105"/>
      <c r="C183" s="105"/>
      <c r="D183" s="105"/>
      <c r="E183" s="105"/>
      <c r="F183" s="105"/>
      <c r="G183" s="105"/>
      <c r="H183" s="105"/>
      <c r="I183" s="105"/>
      <c r="J183" s="105"/>
      <c r="K183" s="105"/>
    </row>
    <row r="184" customFormat="false" ht="15" hidden="false" customHeight="false" outlineLevel="0" collapsed="false">
      <c r="A184" s="104"/>
      <c r="B184" s="105"/>
      <c r="C184" s="105"/>
      <c r="D184" s="105"/>
      <c r="E184" s="105"/>
      <c r="F184" s="105"/>
      <c r="G184" s="105"/>
      <c r="H184" s="105"/>
      <c r="I184" s="105"/>
      <c r="J184" s="105"/>
      <c r="K184" s="105"/>
    </row>
    <row r="185" customFormat="false" ht="15" hidden="false" customHeight="false" outlineLevel="0" collapsed="false">
      <c r="A185" s="104"/>
      <c r="B185" s="105"/>
      <c r="C185" s="105"/>
      <c r="D185" s="105"/>
      <c r="E185" s="105"/>
      <c r="F185" s="105"/>
      <c r="G185" s="105"/>
      <c r="H185" s="105"/>
      <c r="I185" s="105"/>
      <c r="J185" s="105"/>
      <c r="K185" s="105"/>
    </row>
    <row r="186" customFormat="false" ht="15" hidden="false" customHeight="false" outlineLevel="0" collapsed="false">
      <c r="A186" s="104"/>
      <c r="B186" s="105"/>
      <c r="C186" s="105"/>
      <c r="D186" s="105"/>
      <c r="E186" s="105"/>
      <c r="F186" s="105"/>
      <c r="G186" s="105"/>
      <c r="H186" s="105"/>
      <c r="I186" s="105"/>
      <c r="J186" s="105"/>
      <c r="K186" s="105"/>
    </row>
    <row r="187" customFormat="false" ht="15" hidden="false" customHeight="false" outlineLevel="0" collapsed="false">
      <c r="A187" s="104"/>
      <c r="B187" s="105"/>
      <c r="C187" s="105"/>
      <c r="D187" s="105"/>
      <c r="E187" s="105"/>
      <c r="F187" s="105"/>
      <c r="G187" s="105"/>
      <c r="H187" s="105"/>
      <c r="I187" s="105"/>
      <c r="J187" s="105"/>
      <c r="K187" s="105"/>
    </row>
    <row r="188" customFormat="false" ht="15" hidden="false" customHeight="false" outlineLevel="0" collapsed="false">
      <c r="A188" s="104"/>
      <c r="B188" s="105"/>
      <c r="C188" s="105"/>
      <c r="D188" s="105"/>
      <c r="E188" s="105"/>
      <c r="F188" s="105"/>
      <c r="G188" s="105"/>
      <c r="H188" s="105"/>
      <c r="I188" s="105"/>
      <c r="J188" s="105"/>
      <c r="K188" s="105"/>
    </row>
    <row r="189" customFormat="false" ht="15" hidden="false" customHeight="false" outlineLevel="0" collapsed="false">
      <c r="A189" s="104"/>
      <c r="B189" s="105"/>
      <c r="C189" s="105"/>
      <c r="D189" s="105"/>
      <c r="E189" s="105"/>
      <c r="F189" s="105"/>
      <c r="G189" s="105"/>
      <c r="H189" s="105"/>
      <c r="I189" s="105"/>
      <c r="J189" s="105"/>
      <c r="K189" s="105"/>
    </row>
    <row r="190" customFormat="false" ht="15" hidden="false" customHeight="false" outlineLevel="0" collapsed="false">
      <c r="A190" s="104"/>
      <c r="B190" s="105"/>
      <c r="C190" s="105"/>
      <c r="D190" s="105"/>
      <c r="E190" s="105"/>
      <c r="F190" s="105"/>
      <c r="G190" s="105"/>
      <c r="H190" s="105"/>
      <c r="I190" s="105"/>
      <c r="J190" s="105"/>
      <c r="K190" s="105"/>
    </row>
    <row r="191" customFormat="false" ht="15" hidden="false" customHeight="false" outlineLevel="0" collapsed="false">
      <c r="A191" s="104"/>
      <c r="B191" s="105"/>
      <c r="C191" s="105"/>
      <c r="D191" s="105"/>
      <c r="E191" s="105"/>
      <c r="F191" s="105"/>
      <c r="G191" s="105"/>
      <c r="H191" s="105"/>
      <c r="I191" s="105"/>
      <c r="J191" s="105"/>
      <c r="K191" s="105"/>
    </row>
    <row r="192" customFormat="false" ht="15" hidden="false" customHeight="false" outlineLevel="0" collapsed="false">
      <c r="A192" s="104"/>
      <c r="B192" s="105"/>
      <c r="C192" s="105"/>
      <c r="D192" s="105"/>
      <c r="E192" s="105"/>
      <c r="F192" s="105"/>
      <c r="G192" s="105"/>
      <c r="H192" s="105"/>
      <c r="I192" s="105"/>
      <c r="J192" s="105"/>
      <c r="K192" s="105"/>
    </row>
    <row r="193" customFormat="false" ht="15" hidden="false" customHeight="false" outlineLevel="0" collapsed="false">
      <c r="A193" s="104"/>
      <c r="B193" s="105"/>
      <c r="C193" s="105"/>
      <c r="D193" s="105"/>
      <c r="E193" s="105"/>
      <c r="F193" s="105"/>
      <c r="G193" s="105"/>
      <c r="H193" s="105"/>
      <c r="I193" s="105"/>
      <c r="J193" s="105"/>
      <c r="K193" s="105"/>
    </row>
    <row r="194" customFormat="false" ht="15" hidden="false" customHeight="false" outlineLevel="0" collapsed="false">
      <c r="A194" s="104"/>
      <c r="B194" s="105"/>
      <c r="C194" s="105"/>
      <c r="D194" s="105"/>
      <c r="E194" s="105"/>
      <c r="F194" s="105"/>
      <c r="G194" s="105"/>
      <c r="H194" s="105"/>
      <c r="I194" s="105"/>
      <c r="J194" s="105"/>
      <c r="K194" s="105"/>
    </row>
    <row r="195" customFormat="false" ht="15" hidden="false" customHeight="false" outlineLevel="0" collapsed="false">
      <c r="A195" s="104"/>
      <c r="B195" s="105"/>
      <c r="C195" s="105"/>
      <c r="D195" s="105"/>
      <c r="E195" s="105"/>
      <c r="F195" s="105"/>
      <c r="G195" s="105"/>
      <c r="H195" s="105"/>
      <c r="I195" s="105"/>
      <c r="J195" s="105"/>
      <c r="K195" s="105"/>
    </row>
    <row r="196" customFormat="false" ht="15" hidden="false" customHeight="false" outlineLevel="0" collapsed="false">
      <c r="A196" s="104"/>
      <c r="B196" s="105"/>
      <c r="C196" s="105"/>
      <c r="D196" s="105"/>
      <c r="E196" s="105"/>
      <c r="F196" s="105"/>
      <c r="G196" s="105"/>
      <c r="H196" s="105"/>
      <c r="I196" s="105"/>
      <c r="J196" s="105"/>
      <c r="K196" s="105"/>
    </row>
    <row r="197" customFormat="false" ht="15" hidden="false" customHeight="false" outlineLevel="0" collapsed="false">
      <c r="A197" s="104"/>
      <c r="B197" s="105"/>
      <c r="C197" s="105"/>
      <c r="D197" s="105"/>
      <c r="E197" s="105"/>
      <c r="F197" s="105"/>
      <c r="G197" s="105"/>
      <c r="H197" s="105"/>
      <c r="I197" s="105"/>
      <c r="J197" s="105"/>
      <c r="K197" s="105"/>
    </row>
    <row r="198" customFormat="false" ht="15" hidden="false" customHeight="false" outlineLevel="0" collapsed="false">
      <c r="A198" s="104"/>
      <c r="B198" s="105"/>
      <c r="C198" s="105"/>
      <c r="D198" s="105"/>
      <c r="E198" s="105"/>
      <c r="F198" s="105"/>
      <c r="G198" s="105"/>
      <c r="H198" s="105"/>
      <c r="I198" s="105"/>
      <c r="J198" s="105"/>
      <c r="K198" s="105"/>
    </row>
    <row r="199" customFormat="false" ht="15" hidden="false" customHeight="false" outlineLevel="0" collapsed="false">
      <c r="A199" s="104"/>
      <c r="B199" s="105"/>
      <c r="C199" s="105"/>
      <c r="D199" s="105"/>
      <c r="E199" s="105"/>
      <c r="F199" s="105"/>
      <c r="G199" s="105"/>
      <c r="H199" s="105"/>
      <c r="I199" s="105"/>
      <c r="J199" s="105"/>
      <c r="K199" s="105"/>
    </row>
    <row r="200" customFormat="false" ht="15" hidden="false" customHeight="false" outlineLevel="0" collapsed="false">
      <c r="A200" s="104"/>
      <c r="B200" s="105"/>
      <c r="C200" s="105"/>
      <c r="D200" s="105"/>
      <c r="E200" s="105"/>
      <c r="F200" s="105"/>
      <c r="G200" s="105"/>
      <c r="H200" s="105"/>
      <c r="I200" s="105"/>
      <c r="J200" s="105"/>
      <c r="K200" s="105"/>
    </row>
    <row r="201" customFormat="false" ht="15" hidden="false" customHeight="false" outlineLevel="0" collapsed="false">
      <c r="A201" s="104"/>
      <c r="B201" s="105"/>
      <c r="C201" s="105"/>
      <c r="D201" s="105"/>
      <c r="E201" s="105"/>
      <c r="F201" s="105"/>
      <c r="G201" s="105"/>
      <c r="H201" s="105"/>
      <c r="I201" s="105"/>
      <c r="J201" s="105"/>
      <c r="K201" s="105"/>
    </row>
  </sheetData>
  <autoFilter ref="A1:K201"/>
  <conditionalFormatting sqref="E2:E201">
    <cfRule type="expression" priority="2" aboveAverage="0" equalAverage="0" bottom="0" percent="0" rank="0" text="" dxfId="0">
      <formula>ISNUMBER(SEARCH("ACCEPTED",E2))</formula>
    </cfRule>
    <cfRule type="expression" priority="3" aboveAverage="0" equalAverage="0" bottom="0" percent="0" rank="0" text="" dxfId="1">
      <formula>ISNUMBER(SEARCH("CONDITION",E2))</formula>
    </cfRule>
    <cfRule type="expression" priority="4" aboveAverage="0" equalAverage="0" bottom="0" percent="0" rank="0" text="" dxfId="1">
      <formula>ISNUMBER(SEARCH("INCOMPLETE",E2))</formula>
    </cfRule>
    <cfRule type="expression" priority="5" aboveAverage="0" equalAverage="0" bottom="0" percent="0" rank="0" text="" dxfId="1">
      <formula>ISNUMBER(SEARCH("REVIEW",E2))</formula>
    </cfRule>
    <cfRule type="expression" priority="6" aboveAverage="0" equalAverage="0" bottom="0" percent="0" rank="0" text="" dxfId="2">
      <formula>ISNUMBER(SEARCH("REJECTED",E2))</formula>
    </cfRule>
    <cfRule type="expression" priority="7" aboveAverage="0" equalAverage="0" bottom="0" percent="0" rank="0" text="" dxfId="2">
      <formula>ISNUMBER(SEARCH("REMAINS EXPORT CONTROLLED",E2))</formula>
    </cfRule>
    <cfRule type="expression" priority="8" aboveAverage="0" equalAverage="0" bottom="0" percent="0" rank="0" text="" dxfId="0">
      <formula>LEFT(E2,2)="NO"</formula>
    </cfRule>
    <cfRule type="expression" priority="9" aboveAverage="0" equalAverage="0" bottom="0" percent="0" rank="0" text="" dxfId="2">
      <formula>LEFT(E2,3)="YES"</formula>
    </cfRule>
    <cfRule type="expression" priority="10" aboveAverage="0" equalAverage="0" bottom="0" percent="0" rank="0" text="" dxfId="1">
      <formula>LEFT(E2,4)="DUAL"</formula>
    </cfRule>
  </conditionalFormatting>
  <conditionalFormatting sqref="G2:G201">
    <cfRule type="expression" priority="11" aboveAverage="0" equalAverage="0" bottom="0" percent="0" rank="0" text="" dxfId="2">
      <formula>LEFT(G2,6)="EXPORT"</formula>
    </cfRule>
    <cfRule type="expression" priority="12" aboveAverage="0" equalAverage="0" bottom="0" percent="0" rank="0" text="" dxfId="0">
      <formula>LEFT(G2,3)="NOT"</formula>
    </cfRule>
    <cfRule type="expression" priority="13" aboveAverage="0" equalAverage="0" bottom="0" percent="0" rank="0" text="" dxfId="1">
      <formula>LEFT(G2,4)="DUAL"</formula>
    </cfRule>
  </conditionalFormatting>
  <conditionalFormatting sqref="F2:F201">
    <cfRule type="expression" priority="14" aboveAverage="0" equalAverage="0" bottom="0" percent="0" rank="0" text="" dxfId="0">
      <formula>ISNUMBER(SEARCH("ACCEPTED",F2))</formula>
    </cfRule>
    <cfRule type="expression" priority="15" aboveAverage="0" equalAverage="0" bottom="0" percent="0" rank="0" text="" dxfId="1">
      <formula>ISNUMBER(SEARCH("CONDITION",F2))</formula>
    </cfRule>
    <cfRule type="expression" priority="16" aboveAverage="0" equalAverage="0" bottom="0" percent="0" rank="0" text="" dxfId="1">
      <formula>ISNUMBER(SEARCH("INCOMPLETE",F2))</formula>
    </cfRule>
    <cfRule type="expression" priority="17" aboveAverage="0" equalAverage="0" bottom="0" percent="0" rank="0" text="" dxfId="1">
      <formula>ISNUMBER(SEARCH("REVIEW",F2))</formula>
    </cfRule>
    <cfRule type="expression" priority="18" aboveAverage="0" equalAverage="0" bottom="0" percent="0" rank="0" text="" dxfId="2">
      <formula>ISNUMBER(SEARCH("REJECTED",F2))</formula>
    </cfRule>
    <cfRule type="expression" priority="19" aboveAverage="0" equalAverage="0" bottom="0" percent="0" rank="0" text="" dxfId="2">
      <formula>ISNUMBER(SEARCH("REMAINS EXPORT CONTROLLED",F2))</formula>
    </cfRule>
    <cfRule type="expression" priority="20" aboveAverage="0" equalAverage="0" bottom="0" percent="0" rank="0" text="" dxfId="0">
      <formula>LEFT(F2,2)="NO"</formula>
    </cfRule>
    <cfRule type="expression" priority="21" aboveAverage="0" equalAverage="0" bottom="0" percent="0" rank="0" text="" dxfId="2">
      <formula>LEFT(F2,3)="YES"</formula>
    </cfRule>
    <cfRule type="expression" priority="22" aboveAverage="0" equalAverage="0" bottom="0" percent="0" rank="0" text="" dxfId="1">
      <formula>LEFT(F2,4)="DUAL"</formula>
    </cfRule>
  </conditionalFormatting>
  <dataValidations count="4">
    <dataValidation allowBlank="true" errorStyle="stop" operator="between" showDropDown="false" showErrorMessage="false" showInputMessage="false" sqref="D2:D201" type="list">
      <formula1>DocTypeList</formula1>
      <formula2>0</formula2>
    </dataValidation>
    <dataValidation allowBlank="true" errorStyle="stop" operator="between" showDropDown="false" showErrorMessage="false" showInputMessage="false" sqref="E2:E201" type="list">
      <formula1>"YES,NO"</formula1>
      <formula2>0</formula2>
    </dataValidation>
    <dataValidation allowBlank="true" errorStyle="stop" operator="between" showDropDown="false" showErrorMessage="false" showInputMessage="false" sqref="F2:F201" type="list">
      <formula1>"n/a,ACCEPTED,CONDITIONAL,REJECTED"</formula1>
      <formula2>0</formula2>
    </dataValidation>
    <dataValidation allowBlank="true" errorStyle="stop" operator="between" showDropDown="false" showErrorMessage="false" showInputMessage="false" sqref="G2:G201" type="list">
      <formula1>"EXPORT CONTROLLED,NOT EXPORT CONTROLLED,DUAL-USE CONTROLLED"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2026-09-24T09:49:58Z</dcterms:created>
  <dc:creator>openpyxl</dc:creator>
  <dc:description/>
  <dc:language>en-US</dc:language>
  <cp:lastModifiedBy/>
  <dcterms:modified xsi:type="dcterms:W3CDTF">2026-09-24T09:49:59Z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